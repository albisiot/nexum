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Istruzioni" sheetId="1" state="visible" r:id="rId1"/>
    <sheet name="Poteri" sheetId="2" state="visible" r:id="rId2"/>
    <sheet name="Decisioni generali" sheetId="3" state="visible" r:id="rId3"/>
    <sheet name="Riferimento" sheetId="4" state="visible" r:id="rId4"/>
  </sheets>
  <definedNames>
    <definedName name="_xlnm._FilterDatabase" localSheetId="1" hidden="1">'Poteri'!$A$4:$P$108</definedName>
  </definedNames>
  <calcPr calcId="18102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sz val="16"/>
    </font>
    <font>
      <name val="Arial"/>
      <i val="1"/>
      <color rgb="FF4B5563"/>
      <sz val="10"/>
    </font>
    <font>
      <name val="Arial"/>
      <b val="1"/>
      <color rgb="FFFFFFFF"/>
      <sz val="10"/>
    </font>
    <font>
      <name val="Arial"/>
      <sz val="10"/>
    </font>
    <font>
      <name val="Arial"/>
      <b val="1"/>
      <sz val="10"/>
    </font>
    <font>
      <name val="Arial"/>
      <b val="1"/>
      <sz val="13"/>
    </font>
    <font>
      <name val="Arial"/>
      <color rgb="FF0000FF"/>
      <sz val="10"/>
    </font>
    <font>
      <name val="Arial"/>
      <b val="1"/>
      <sz val="18"/>
    </font>
    <font>
      <name val="Arial"/>
      <b val="1"/>
      <color rgb="FF065F46"/>
      <sz val="10"/>
    </font>
  </fonts>
  <fills count="10">
    <fill>
      <patternFill/>
    </fill>
    <fill>
      <patternFill patternType="gray125"/>
    </fill>
    <fill>
      <patternFill patternType="solid">
        <fgColor rgb="FF1F2937"/>
      </patternFill>
    </fill>
    <fill>
      <patternFill patternType="solid">
        <fgColor rgb="FFB8860B"/>
      </patternFill>
    </fill>
    <fill>
      <patternFill patternType="solid">
        <fgColor rgb="FFF3F4F6"/>
      </patternFill>
    </fill>
    <fill>
      <patternFill patternType="solid">
        <fgColor rgb="FFE5E7EB"/>
      </patternFill>
    </fill>
    <fill>
      <patternFill patternType="solid">
        <fgColor rgb="FFFFF2CC"/>
      </patternFill>
    </fill>
    <fill>
      <patternFill patternType="solid">
        <fgColor rgb="FFFFEDD5"/>
      </patternFill>
    </fill>
    <fill>
      <patternFill patternType="solid">
        <fgColor rgb="FFD1FAE5"/>
      </patternFill>
    </fill>
    <fill>
      <patternFill patternType="solid">
        <fgColor rgb="FFA7F3D0"/>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6">
    <xf numFmtId="0" fontId="0" fillId="0" borderId="0" pivotButton="0" quotePrefix="0" xfId="0"/>
    <xf numFmtId="0" fontId="8" fillId="0" borderId="0" pivotButton="0" quotePrefix="0" xfId="0"/>
    <xf numFmtId="0" fontId="2" fillId="0" borderId="0" pivotButton="0" quotePrefix="0" xfId="0"/>
    <xf numFmtId="0" fontId="6" fillId="0" borderId="0" pivotButton="0" quotePrefix="0" xfId="0"/>
    <xf numFmtId="0" fontId="5" fillId="0" borderId="0" applyAlignment="1" pivotButton="0" quotePrefix="0" xfId="0">
      <alignment vertical="top" wrapText="1"/>
    </xf>
    <xf numFmtId="0" fontId="4" fillId="0" borderId="0" applyAlignment="1" pivotButton="0" quotePrefix="0" xfId="0">
      <alignment vertical="top" wrapText="1"/>
    </xf>
    <xf numFmtId="0" fontId="5" fillId="6" borderId="0" applyAlignment="1" pivotButton="0" quotePrefix="0" xfId="0">
      <alignment vertical="top" wrapText="1"/>
    </xf>
    <xf numFmtId="0" fontId="5" fillId="8" borderId="0" applyAlignment="1" pivotButton="0" quotePrefix="0" xfId="0">
      <alignment vertical="top" wrapText="1"/>
    </xf>
    <xf numFmtId="0" fontId="5" fillId="7" borderId="0" applyAlignment="1" pivotButton="0" quotePrefix="0" xfId="0">
      <alignment vertical="top" wrapText="1"/>
    </xf>
    <xf numFmtId="0" fontId="5" fillId="5" borderId="0" applyAlignment="1" pivotButton="0" quotePrefix="0" xfId="0">
      <alignment vertical="top" wrapText="1"/>
    </xf>
    <xf numFmtId="0" fontId="5" fillId="0" borderId="0" applyAlignment="1" pivotButton="0" quotePrefix="0" xfId="0">
      <alignment horizontal="left"/>
    </xf>
    <xf numFmtId="0" fontId="1" fillId="0" borderId="0" pivotButton="0" quotePrefix="0" xfId="0"/>
    <xf numFmtId="0" fontId="3" fillId="2" borderId="1" applyAlignment="1" pivotButton="0" quotePrefix="0" xfId="0">
      <alignment vertical="center" wrapText="1"/>
    </xf>
    <xf numFmtId="0" fontId="3" fillId="3" borderId="1" applyAlignment="1" pivotButton="0" quotePrefix="0" xfId="0">
      <alignment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5" fillId="0" borderId="0" pivotButton="0" quotePrefix="0" xfId="0"/>
    <xf numFmtId="0" fontId="4" fillId="0" borderId="0" pivotButton="0" quotePrefix="0" xfId="0"/>
    <xf numFmtId="164" fontId="7" fillId="0" borderId="0" applyAlignment="1" pivotButton="0" quotePrefix="0" xfId="0">
      <alignment horizontal="left"/>
    </xf>
    <xf numFmtId="0" fontId="4" fillId="4" borderId="1" applyAlignment="1" pivotButton="0" quotePrefix="1" xfId="0">
      <alignment vertical="top" wrapText="1"/>
    </xf>
    <xf numFmtId="0" fontId="5" fillId="8" borderId="1" applyAlignment="1" pivotButton="0" quotePrefix="0" xfId="0">
      <alignment vertical="top" wrapText="1"/>
    </xf>
    <xf numFmtId="0" fontId="9" fillId="9" borderId="1" applyAlignment="1" pivotButton="0" quotePrefix="0" xfId="0">
      <alignment vertical="top" wrapText="1"/>
    </xf>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topLeftCell="A15" workbookViewId="0">
      <selection activeCell="A1" sqref="A1"/>
    </sheetView>
  </sheetViews>
  <sheetFormatPr baseColWidth="8" defaultRowHeight="14.4"/>
  <cols>
    <col width="30" customWidth="1" min="1" max="1"/>
    <col width="95" customWidth="1" min="2" max="2"/>
  </cols>
  <sheetData>
    <row r="1" ht="22.8" customHeight="1">
      <c r="A1" s="1" t="inlineStr">
        <is>
          <t>NEXUM · Poteri delle carte</t>
        </is>
      </c>
    </row>
    <row r="2">
      <c r="A2" s="2" t="inlineStr">
        <is>
          <t>Preparato da Claude il 27/10/2026 · aggiornato il 28/10/2026 con le tue decisioni (gioco alla versione 0.19.0)</t>
        </is>
      </c>
    </row>
    <row r="3"/>
    <row r="4" ht="16.8" customHeight="1">
      <c r="A4" s="3" t="inlineStr">
        <is>
          <t>Cosa c'è nel file</t>
        </is>
      </c>
    </row>
    <row r="5" ht="31.95" customHeight="1">
      <c r="A5" s="4" t="inlineStr">
        <is>
          <t>Poteri</t>
        </is>
      </c>
      <c r="B5" s="5" t="inlineStr">
        <is>
          <t>Tutte le 104 carte, una per riga: cosa fa oggi il potere, i numeri della simulazione, i problemi trovati e una proposta. Le carte senza potere ci sono per poterne aggiungere uno.</t>
        </is>
      </c>
    </row>
    <row r="6" ht="31.95" customHeight="1">
      <c r="A6" s="4" t="inlineStr">
        <is>
          <t>Decisioni generali</t>
        </is>
      </c>
      <c r="B6" s="5" t="inlineStr">
        <is>
          <t>Regole che valgono per più poteri insieme (scarti, protezione, scelte, pronostici…): vanno decise prima di programmare alcuni gruppi di poteri.</t>
        </is>
      </c>
    </row>
    <row r="7" ht="31.95" customHeight="1">
      <c r="A7" s="4" t="inlineStr">
        <is>
          <t>Riferimento</t>
        </is>
      </c>
      <c r="B7" s="5" t="inlineStr">
        <is>
          <t>In che ordine il gioco applica i poteri, le parole usate e le percentuali di vittoria delle carte senza potere.</t>
        </is>
      </c>
    </row>
    <row r="8"/>
    <row r="9" ht="16.8" customHeight="1">
      <c r="A9" s="3" t="inlineStr">
        <is>
          <t>Come compilarlo</t>
        </is>
      </c>
    </row>
    <row r="10" ht="19.05" customHeight="1">
      <c r="A10" s="4" t="inlineStr">
        <is>
          <t>1</t>
        </is>
      </c>
      <c r="B10" s="5" t="inlineStr">
        <is>
          <t>Nel foglio Poteri leggi le colonne grigie (A–L): sono solo informazioni, non serve cambiarle.</t>
        </is>
      </c>
    </row>
    <row r="11" ht="31.95" customHeight="1">
      <c r="A11" s="4" t="inlineStr">
        <is>
          <t>2</t>
        </is>
      </c>
      <c r="B11" s="5" t="inlineStr">
        <is>
          <t>Compila solo le colonne gialle (M–P). Le colonne grigie e la colonna Codice non vanno modificate: il Codice serve a me per riconoscere la carta.</t>
        </is>
      </c>
    </row>
    <row r="12" ht="31.95" customHeight="1">
      <c r="A12" s="4" t="inlineStr">
        <is>
          <t>3</t>
        </is>
      </c>
      <c r="B12" s="5" t="inlineStr">
        <is>
          <t>In 'La tua decisione' scegli dal menu: Va bene così · Usa la proposta · Nuova regola (scrivi in O) · Togli il potere · Da discutere.</t>
        </is>
      </c>
    </row>
    <row r="13" ht="19.05" customHeight="1">
      <c r="A13" s="4" t="inlineStr">
        <is>
          <t>4</t>
        </is>
      </c>
      <c r="B13" s="5" t="inlineStr">
        <is>
          <t>Se vuoi cambiare il testo che vedono i giocatori, scrivilo in 'Nuovo testo sulla carta'.</t>
        </is>
      </c>
    </row>
    <row r="14" ht="45" customHeight="1">
      <c r="A14" s="4" t="inlineStr">
        <is>
          <t>5</t>
        </is>
      </c>
      <c r="B14" s="5" t="inlineStr">
        <is>
          <t>Se scegli 'Nuova regola', scrivi in 'Regola esatta' come deve funzionare: quando si attiva (alla giocata, alla rivelazione o dopo la presa), a quale condizione, cosa fa con numeri precisi, e chi ne beneficia.</t>
        </is>
      </c>
    </row>
    <row r="15" ht="19.05" customHeight="1">
      <c r="A15" s="4" t="inlineStr">
        <is>
          <t>6</t>
        </is>
      </c>
      <c r="B15" s="5" t="inlineStr">
        <is>
          <t>Puoi dare un potere anche a una carta 'Senza potere': compila le colonne gialle della sua riga.</t>
        </is>
      </c>
    </row>
    <row r="16" ht="19.05" customHeight="1">
      <c r="A16" s="4" t="inlineStr">
        <is>
          <t>7</t>
        </is>
      </c>
      <c r="B16" s="5" t="inlineStr">
        <is>
          <t>Compila anche il foglio 'Decisioni generali'.</t>
        </is>
      </c>
    </row>
    <row r="17" ht="31.95" customHeight="1">
      <c r="A17" s="4" t="inlineStr">
        <is>
          <t>8</t>
        </is>
      </c>
      <c r="B17" s="5" t="inlineStr">
        <is>
          <t>Salva il file e mandamelo: programmo i poteri, li provo e aggiorno il gioco. Le righe lasciate vuote restano come sono.</t>
        </is>
      </c>
    </row>
    <row r="18"/>
    <row r="19" ht="16.8" customHeight="1">
      <c r="A19" s="3" t="inlineStr">
        <is>
          <t>Colori</t>
        </is>
      </c>
    </row>
    <row r="20" ht="19.05" customHeight="1">
      <c r="A20" s="6" t="inlineStr">
        <is>
          <t>Giallo</t>
        </is>
      </c>
      <c r="B20" s="5" t="inlineStr">
        <is>
          <t>Celle da compilare.</t>
        </is>
      </c>
    </row>
    <row r="21" ht="19.05" customHeight="1">
      <c r="A21" s="7" t="inlineStr">
        <is>
          <t>Verde</t>
        </is>
      </c>
      <c r="B21" s="5" t="inlineStr">
        <is>
          <t>Riga verde: carta a posto. Il potere è programmato (il gioco lo applica), è stato tolto su tua decisione, oppure la carta non ha poteri. Puoi sempre cambiarla: compila le colonne gialle.</t>
        </is>
      </c>
    </row>
    <row r="22" ht="19.05" customHeight="1">
      <c r="A22" s="8" t="inlineStr">
        <is>
          <t>Arancione</t>
        </is>
      </c>
      <c r="B22" s="5" t="inlineStr">
        <is>
          <t>Potere non programmato: il testo c'è, ma il gioco non lo applica.</t>
        </is>
      </c>
    </row>
    <row r="23" ht="19.05" customHeight="1">
      <c r="A23" s="9" t="inlineStr">
        <is>
          <t>Grigio</t>
        </is>
      </c>
      <c r="B23" s="5" t="inlineStr">
        <is>
          <t>Non più usato: anche le carte senza potere sono verdi.</t>
        </is>
      </c>
    </row>
    <row r="24"/>
    <row r="25" ht="16.8" customHeight="1">
      <c r="A25" s="3" t="inlineStr">
        <is>
          <t>Esempio di compilazione (riga di Morrowshade)</t>
        </is>
      </c>
    </row>
    <row r="26" ht="19.05" customHeight="1">
      <c r="A26" s="4" t="inlineStr">
        <is>
          <t>La tua decisione</t>
        </is>
      </c>
      <c r="B26" s="5" t="inlineStr">
        <is>
          <t>Nuova regola (scrivi in O)</t>
        </is>
      </c>
    </row>
    <row r="27" ht="19.05" customHeight="1">
      <c r="A27" s="4" t="inlineStr">
        <is>
          <t>Nuovo testo sulla carta</t>
        </is>
      </c>
      <c r="B27" s="5" t="inlineStr">
        <is>
          <t>Se è la carta più bassa della presa, +2 punti.</t>
        </is>
      </c>
    </row>
    <row r="28" ht="45" customHeight="1">
      <c r="A28" s="4" t="inlineStr">
        <is>
          <t>Regola esatta</t>
        </is>
      </c>
      <c r="B28" s="5" t="inlineStr">
        <is>
          <t>Dopo la presa: se Morrowshade ha il valore finale più basso di tutte le carte della presa (anche se giocata fuori fazione), chi l'ha giocata guadagna 2 punti Contratto. Se c'è un pareggio per il più basso, non si attiva.</t>
        </is>
      </c>
    </row>
    <row r="29" ht="19.05" customHeight="1">
      <c r="A29" s="4" t="inlineStr">
        <is>
          <t>Note e domande</t>
        </is>
      </c>
      <c r="B29" s="5" t="inlineStr">
        <is>
          <t>Vale anche in 2 giocatori?</t>
        </is>
      </c>
    </row>
    <row r="30"/>
    <row r="31" ht="16.8" customHeight="1">
      <c r="A31" s="3" t="inlineStr">
        <is>
          <t>Riepilogo (si aggiorna da solo)</t>
        </is>
      </c>
    </row>
    <row r="32" ht="18" customHeight="1">
      <c r="A32" s="4" t="inlineStr">
        <is>
          <t>Poteri programmati</t>
        </is>
      </c>
      <c r="B32" s="10">
        <f>COUNTIF(Poteri!$F$5:$F$108,"Programmato")</f>
        <v/>
      </c>
    </row>
    <row r="33" ht="18" customHeight="1">
      <c r="A33" s="4" t="inlineStr">
        <is>
          <t>Poteri non programmati</t>
        </is>
      </c>
      <c r="B33" s="10">
        <f>COUNTIF(Poteri!$F$5:$F$108,"Non programmato")</f>
        <v/>
      </c>
    </row>
    <row r="34" ht="18" customHeight="1">
      <c r="A34" s="4" t="inlineStr">
        <is>
          <t>Carte senza potere</t>
        </is>
      </c>
      <c r="B34" s="10">
        <f>COUNTIF(Poteri!$F$5:$F$108,"Senza potere")</f>
        <v/>
      </c>
    </row>
    <row r="35" ht="18" customHeight="1">
      <c r="A35" s="4" t="inlineStr">
        <is>
          <t>Poteri tolti</t>
        </is>
      </c>
      <c r="B35" s="10">
        <f>COUNTIF(Poteri!$F$5:$F$108,"Potere tolto")</f>
        <v/>
      </c>
    </row>
    <row r="36" ht="18" customHeight="1">
      <c r="A36" s="4" t="inlineStr">
        <is>
          <t>Decisioni compilate (Poteri)</t>
        </is>
      </c>
      <c r="B36" s="10">
        <f>COUNTA(Poteri!$M$5:$M$108)</f>
        <v/>
      </c>
    </row>
    <row r="37">
      <c r="A37" s="4" t="inlineStr">
        <is>
          <t>Decisioni generali compilate</t>
        </is>
      </c>
      <c r="B37" s="10">
        <f>COUNTA('Decisioni generali'!$F$5:$F$13)&amp;" su 9"</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8"/>
  <sheetViews>
    <sheetView tabSelected="1" zoomScale="90" workbookViewId="0">
      <pane xSplit="3" ySplit="4" topLeftCell="D77" activePane="bottomRight" state="frozen"/>
      <selection pane="topRight" activeCell="A1" sqref="A1"/>
      <selection pane="bottomLeft" activeCell="A1" sqref="A1"/>
      <selection pane="bottomRight" activeCell="E80" sqref="E80"/>
    </sheetView>
  </sheetViews>
  <sheetFormatPr baseColWidth="8" defaultRowHeight="14.4"/>
  <cols>
    <col width="13" customWidth="1" min="1" max="1"/>
    <col width="12" customWidth="1" min="2" max="2"/>
    <col width="15" customWidth="1" min="3" max="3"/>
    <col width="8" customWidth="1" min="4" max="4"/>
    <col width="30" customWidth="1" min="5" max="5"/>
    <col width="15" customWidth="1" min="6" max="6"/>
    <col width="16" customWidth="1" min="7" max="7"/>
    <col width="44" customWidth="1" min="8" max="8"/>
    <col width="36" customWidth="1" min="9" max="10"/>
    <col width="30" customWidth="1" min="11" max="11"/>
    <col width="40" customWidth="1" min="12" max="12"/>
    <col width="22" customWidth="1" min="13" max="13"/>
    <col width="34" customWidth="1" min="14" max="14"/>
    <col width="44" customWidth="1" min="15" max="15"/>
    <col width="30" customWidth="1" min="16" max="16"/>
  </cols>
  <sheetData>
    <row r="1" ht="21" customHeight="1">
      <c r="A1" s="11" t="inlineStr">
        <is>
          <t>NEXUM · Poteri delle carte</t>
        </is>
      </c>
    </row>
    <row r="2">
      <c r="A2" s="2" t="inlineStr">
        <is>
          <t>Aggiornato il 28/10/2026 con il gioco alla versione 0.19.0 · 104 carte · righe verdi = carte a posto (potere programmato, potere tolto o carta senza potere) · colonne gialle (M–P) = da compilare. Filtri e menu nella riga delle intestazioni.</t>
        </is>
      </c>
    </row>
    <row r="4" ht="31.95" customHeight="1">
      <c r="A4" s="12" t="inlineStr">
        <is>
          <t>Codice</t>
        </is>
      </c>
      <c r="B4" s="12" t="inlineStr">
        <is>
          <t>Fazione</t>
        </is>
      </c>
      <c r="C4" s="12" t="inlineStr">
        <is>
          <t>Carta</t>
        </is>
      </c>
      <c r="D4" s="12" t="inlineStr">
        <is>
          <t>Valore</t>
        </is>
      </c>
      <c r="E4" s="12" t="inlineStr">
        <is>
          <t>Testo attuale sulla carta</t>
        </is>
      </c>
      <c r="F4" s="12" t="inlineStr">
        <is>
          <t>Stato</t>
        </is>
      </c>
      <c r="G4" s="12" t="inlineStr">
        <is>
          <t>Quando agisce</t>
        </is>
      </c>
      <c r="H4" s="12" t="inlineStr">
        <is>
          <t>Cosa fa oggi nel gioco</t>
        </is>
      </c>
      <c r="I4" s="12" t="inlineStr">
        <is>
          <t>Dati dalla simulazione (8000 mani)</t>
        </is>
      </c>
      <c r="J4" s="12" t="inlineStr">
        <is>
          <t>Problemi e dubbi</t>
        </is>
      </c>
      <c r="K4" s="12" t="inlineStr">
        <is>
          <t>Cosa serve per programmarlo</t>
        </is>
      </c>
      <c r="L4" s="12" t="inlineStr">
        <is>
          <t>Proposta di Claude</t>
        </is>
      </c>
      <c r="M4" s="13" t="inlineStr">
        <is>
          <t>✏️ La tua decisione</t>
        </is>
      </c>
      <c r="N4" s="13" t="inlineStr">
        <is>
          <t>✏️ Nuovo testo sulla carta</t>
        </is>
      </c>
      <c r="O4" s="13" t="inlineStr">
        <is>
          <t>✏️ Regola esatta (come deve funzionare)</t>
        </is>
      </c>
      <c r="P4" s="13" t="inlineStr">
        <is>
          <t>✏️ Note e domande</t>
        </is>
      </c>
    </row>
    <row r="5" ht="42" customHeight="1">
      <c r="A5" s="19" t="inlineStr">
        <is>
          <t>Custodes-0</t>
        </is>
      </c>
      <c r="B5" s="19" t="inlineStr">
        <is>
          <t>Custodes</t>
        </is>
      </c>
      <c r="C5" s="24" t="inlineStr">
        <is>
          <t>Meridianis</t>
        </is>
      </c>
      <c r="D5" s="19" t="n">
        <v>91</v>
      </c>
      <c r="E5" s="19" t="inlineStr">
        <is>
          <t>—</t>
        </is>
      </c>
      <c r="F5" s="25" t="inlineStr">
        <is>
          <t>Senza potere</t>
        </is>
      </c>
      <c r="G5" s="19" t="inlineStr">
        <is>
          <t>—</t>
        </is>
      </c>
      <c r="H5" s="19" t="inlineStr">
        <is>
          <t>Nessun potere.</t>
        </is>
      </c>
      <c r="I5" s="19" t="n"/>
      <c r="J5" s="19" t="n"/>
      <c r="K5" s="19" t="n"/>
      <c r="L5" s="19" t="n"/>
      <c r="M5" s="17" t="n"/>
      <c r="N5" s="17" t="n"/>
      <c r="O5" s="17" t="n"/>
      <c r="P5" s="17" t="n"/>
    </row>
    <row r="6" ht="70.95" customHeight="1">
      <c r="A6" s="14" t="inlineStr">
        <is>
          <t>Custodes-1</t>
        </is>
      </c>
      <c r="B6" s="14" t="inlineStr">
        <is>
          <t>Custodes</t>
        </is>
      </c>
      <c r="C6" s="15" t="inlineStr">
        <is>
          <t>Aegiron</t>
        </is>
      </c>
      <c r="D6" s="14" t="n">
        <v>84</v>
      </c>
      <c r="E6" s="14" t="inlineStr">
        <is>
          <t>Se prende la presa, la tua prossima carta è protetta.</t>
        </is>
      </c>
      <c r="F6" s="18" t="inlineStr">
        <is>
          <t>Non programmato</t>
        </is>
      </c>
      <c r="G6" s="14" t="inlineStr">
        <is>
          <t>—</t>
        </is>
      </c>
      <c r="H6" s="14" t="inlineStr">
        <is>
          <t>Niente: il testo si vede sulla carta, ma il gioco non lo applica (la carta mostra 'potere non ancora attivo').</t>
        </is>
      </c>
      <c r="I6" s="14" t="n"/>
      <c r="J6" s="14" t="inlineStr">
        <is>
          <t>Non è definito cosa vuol dire 'protetta'.</t>
        </is>
      </c>
      <c r="K6" s="14" t="inlineStr">
        <is>
          <t>D · Protezione. Definire cosa vuol dire 'protetta' (foglio 'Decisioni generali', punto 3).</t>
        </is>
      </c>
      <c r="L6" s="14" t="inlineStr">
        <is>
          <t>Se vince la presa, la tua prossima carta è protetta: i poteri avversari non possono cambiarne il valore (Vesper Null, Wildcard, Measure, Axiom) e in quella presa non puoi perdere punti per i poteri avversari.</t>
        </is>
      </c>
      <c r="M6" s="17" t="n"/>
      <c r="N6" s="17" t="n"/>
      <c r="O6" s="17" t="n"/>
      <c r="P6" s="17" t="n"/>
    </row>
    <row r="7" ht="45" customHeight="1">
      <c r="A7" s="19" t="inlineStr">
        <is>
          <t>Custodes-2</t>
        </is>
      </c>
      <c r="B7" s="19" t="inlineStr">
        <is>
          <t>Custodes</t>
        </is>
      </c>
      <c r="C7" s="24" t="inlineStr">
        <is>
          <t>Vigil</t>
        </is>
      </c>
      <c r="D7" s="19" t="n">
        <v>76</v>
      </c>
      <c r="E7" s="19" t="inlineStr">
        <is>
          <t>Controllo.</t>
        </is>
      </c>
      <c r="F7" s="25" t="inlineStr">
        <is>
          <t>Programmato</t>
        </is>
      </c>
      <c r="G7" s="19" t="inlineStr">
        <is>
          <t>Quando apre la presa</t>
        </is>
      </c>
      <c r="H7" s="19" t="inlineStr">
        <is>
          <t>Se Vigil apre la presa, chi segue e ha quella fazione deve giocare la sua carta più alta di quella fazione: il gioco solleva solo quella carta.</t>
        </is>
      </c>
      <c r="I7" s="19" t="n"/>
      <c r="J7" s="19" t="inlineStr">
        <is>
          <t>'Controllo.' non descrive una regola.</t>
        </is>
      </c>
      <c r="K7" s="19" t="inlineStr">
        <is>
          <t>Programmato nella versione 0.18.0.</t>
        </is>
      </c>
      <c r="L7" s="19" t="inlineStr">
        <is>
          <t>Se Vigil apre la presa, chi segue deve giocare la sua carta più alta di quella fazione.</t>
        </is>
      </c>
      <c r="M7" s="17" t="inlineStr">
        <is>
          <t>Usa la proposta</t>
        </is>
      </c>
      <c r="N7" s="17" t="n"/>
      <c r="O7" s="14" t="inlineStr">
        <is>
          <t>Se Vigil apre la presa, chi segue deve giocare la sua carta più alta di quella fazione.</t>
        </is>
      </c>
      <c r="P7" s="17" t="n"/>
    </row>
    <row r="8" ht="42" customHeight="1">
      <c r="A8" s="19" t="inlineStr">
        <is>
          <t>Custodes-3</t>
        </is>
      </c>
      <c r="B8" s="19" t="inlineStr">
        <is>
          <t>Custodes</t>
        </is>
      </c>
      <c r="C8" s="24" t="inlineStr">
        <is>
          <t>Caelia Vorn</t>
        </is>
      </c>
      <c r="D8" s="19" t="n">
        <v>69</v>
      </c>
      <c r="E8" s="19" t="inlineStr">
        <is>
          <t>—</t>
        </is>
      </c>
      <c r="F8" s="25" t="inlineStr">
        <is>
          <t>Senza potere</t>
        </is>
      </c>
      <c r="G8" s="19" t="inlineStr">
        <is>
          <t>—</t>
        </is>
      </c>
      <c r="H8" s="19" t="inlineStr">
        <is>
          <t>Nessun potere.</t>
        </is>
      </c>
      <c r="I8" s="19" t="n"/>
      <c r="J8" s="19" t="n"/>
      <c r="K8" s="19" t="n"/>
      <c r="L8" s="19" t="n"/>
      <c r="M8" s="17" t="n"/>
      <c r="N8" s="17" t="n"/>
      <c r="O8" s="17" t="n"/>
      <c r="P8" s="17" t="n"/>
    </row>
    <row r="9" ht="45" customHeight="1">
      <c r="A9" s="19" t="inlineStr">
        <is>
          <t>Custodes-4</t>
        </is>
      </c>
      <c r="B9" s="19" t="inlineStr">
        <is>
          <t>Custodes</t>
        </is>
      </c>
      <c r="C9" s="24" t="inlineStr">
        <is>
          <t>Foreseer</t>
        </is>
      </c>
      <c r="D9" s="19" t="n">
        <v>63</v>
      </c>
      <c r="E9" s="19" t="inlineStr"/>
      <c r="F9" s="25" t="inlineStr">
        <is>
          <t>Potere tolto</t>
        </is>
      </c>
      <c r="G9" s="19" t="inlineStr">
        <is>
          <t>—</t>
        </is>
      </c>
      <c r="H9" s="19" t="inlineStr">
        <is>
          <t>Nessun potere: tolto su tua decisione (versione 0.18.0). La carta resta, senza testo.</t>
        </is>
      </c>
      <c r="I9" s="19" t="n"/>
      <c r="J9" s="19" t="inlineStr">
        <is>
          <t>'Predizione.' non descrive una regola.</t>
        </is>
      </c>
      <c r="K9" s="19" t="inlineStr">
        <is>
          <t>—</t>
        </is>
      </c>
      <c r="L9" s="19" t="inlineStr">
        <is>
          <t>Quando la giochi, vedi la mano del giocatore che gioca subito dopo di te, solo per questa presa.</t>
        </is>
      </c>
      <c r="M9" s="17" t="inlineStr">
        <is>
          <t>Togli il potere</t>
        </is>
      </c>
      <c r="N9" s="17" t="n"/>
      <c r="O9" s="17" t="n"/>
      <c r="P9" s="17" t="n"/>
    </row>
    <row r="10" ht="45" customHeight="1">
      <c r="A10" s="19" t="inlineStr">
        <is>
          <t>Custodes-5</t>
        </is>
      </c>
      <c r="B10" s="19" t="inlineStr">
        <is>
          <t>Custodes</t>
        </is>
      </c>
      <c r="C10" s="24" t="inlineStr">
        <is>
          <t>Locke</t>
        </is>
      </c>
      <c r="D10" s="19" t="n">
        <v>57</v>
      </c>
      <c r="E10" s="19" t="inlineStr"/>
      <c r="F10" s="25" t="inlineStr">
        <is>
          <t>Potere tolto</t>
        </is>
      </c>
      <c r="G10" s="19" t="inlineStr">
        <is>
          <t>—</t>
        </is>
      </c>
      <c r="H10" s="19" t="inlineStr">
        <is>
          <t>Nessun potere: tolto su tua decisione (versione 0.18.0). La carta resta, senza testo.</t>
        </is>
      </c>
      <c r="I10" s="19" t="n"/>
      <c r="J10" s="19" t="inlineStr">
        <is>
          <t>'Limita modifiche' non dice quali né quanto.</t>
        </is>
      </c>
      <c r="K10" s="19" t="inlineStr">
        <is>
          <t>—</t>
        </is>
      </c>
      <c r="L10" s="19" t="inlineStr">
        <is>
          <t>Se vince la presa, nella presa successiva nessun potere può cambiare i valori (come un Axiom ritardato).</t>
        </is>
      </c>
      <c r="M10" s="17" t="inlineStr">
        <is>
          <t>Togli il potere</t>
        </is>
      </c>
      <c r="N10" s="17" t="n"/>
      <c r="O10" s="17" t="n"/>
      <c r="P10" s="17" t="n"/>
    </row>
    <row r="11" ht="42" customHeight="1">
      <c r="A11" s="19" t="inlineStr">
        <is>
          <t>Custodes-6</t>
        </is>
      </c>
      <c r="B11" s="19" t="inlineStr">
        <is>
          <t>Custodes</t>
        </is>
      </c>
      <c r="C11" s="24" t="inlineStr">
        <is>
          <t>Sentry-7</t>
        </is>
      </c>
      <c r="D11" s="19" t="n">
        <v>51</v>
      </c>
      <c r="E11" s="19" t="inlineStr">
        <is>
          <t>—</t>
        </is>
      </c>
      <c r="F11" s="25" t="inlineStr">
        <is>
          <t>Senza potere</t>
        </is>
      </c>
      <c r="G11" s="19" t="inlineStr">
        <is>
          <t>—</t>
        </is>
      </c>
      <c r="H11" s="19" t="inlineStr">
        <is>
          <t>Nessun potere.</t>
        </is>
      </c>
      <c r="I11" s="19" t="n"/>
      <c r="J11" s="19" t="n"/>
      <c r="K11" s="19" t="n"/>
      <c r="L11" s="19" t="n"/>
      <c r="M11" s="17" t="n"/>
      <c r="N11" s="17" t="n"/>
      <c r="O11" s="17" t="n"/>
      <c r="P11" s="17" t="n"/>
    </row>
    <row r="12" ht="45" customHeight="1">
      <c r="A12" s="19" t="inlineStr">
        <is>
          <t>Custodes-7</t>
        </is>
      </c>
      <c r="B12" s="19" t="inlineStr">
        <is>
          <t>Custodes</t>
        </is>
      </c>
      <c r="C12" s="24" t="inlineStr">
        <is>
          <t>Reversal</t>
        </is>
      </c>
      <c r="D12" s="19" t="n">
        <v>44</v>
      </c>
      <c r="E12" s="19" t="inlineStr">
        <is>
          <t>Può annullare effetti di presa.</t>
        </is>
      </c>
      <c r="F12" s="25" t="inlineStr">
        <is>
          <t>Programmato</t>
        </is>
      </c>
      <c r="G12" s="19" t="inlineStr">
        <is>
          <t>Dopo la presa (scelta)</t>
        </is>
      </c>
      <c r="H12" s="19" t="inlineStr">
        <is>
          <t>Se Reversal è nella presa e la presa ha dato o tolto punti, chi l'ha catturata sceglie 'Annulla i punti' o 'Tienili'. Annullando, tornano indietro per tutti i giocatori i punti del Contratto e dei poteri nati da quella presa (non i punti pagati per Fury o Ashen, né i bonus sulla prossima carta). La CPU li annulla quando le costano.</t>
        </is>
      </c>
      <c r="I12" s="19" t="n"/>
      <c r="J12" s="19" t="inlineStr">
        <is>
          <t>Da confermare: ho fatto annullare i punti di tutti i giocatori. Se deve annullare solo quelli di chi la cattura, scrivilo nelle note.</t>
        </is>
      </c>
      <c r="K12" s="19" t="inlineStr">
        <is>
          <t>Programmato nella versione 0.19.0.</t>
        </is>
      </c>
      <c r="L12" s="19" t="inlineStr">
        <is>
          <t>Se Reversal è nella presa, i poteri 'se vince la presa' (Origin, Zero, Praetor, Vesper Null, Ravager) non si attivano.</t>
        </is>
      </c>
      <c r="M12" s="17" t="inlineStr">
        <is>
          <t>Nuova regola (scrivi in O)</t>
        </is>
      </c>
      <c r="N12" s="17" t="inlineStr">
        <is>
          <t>Può annullare effetti di presa.</t>
        </is>
      </c>
      <c r="O12" s="17" t="inlineStr">
        <is>
          <t>chi prende questa carta può scegliere se annullare i punteggi derivati dalla presa in cui si trova questa carta, ma solo alla fine della presa in cui è presente, non a fine a partita</t>
        </is>
      </c>
      <c r="P12" s="17" t="n"/>
    </row>
    <row r="13" ht="42" customHeight="1">
      <c r="A13" s="19" t="inlineStr">
        <is>
          <t>Custodes-8</t>
        </is>
      </c>
      <c r="B13" s="19" t="inlineStr">
        <is>
          <t>Custodes</t>
        </is>
      </c>
      <c r="C13" s="24" t="inlineStr">
        <is>
          <t>Greyline</t>
        </is>
      </c>
      <c r="D13" s="19" t="n">
        <v>37</v>
      </c>
      <c r="E13" s="19" t="inlineStr">
        <is>
          <t>—</t>
        </is>
      </c>
      <c r="F13" s="25" t="inlineStr">
        <is>
          <t>Senza potere</t>
        </is>
      </c>
      <c r="G13" s="19" t="inlineStr">
        <is>
          <t>—</t>
        </is>
      </c>
      <c r="H13" s="19" t="inlineStr">
        <is>
          <t>Nessun potere.</t>
        </is>
      </c>
      <c r="I13" s="19" t="n"/>
      <c r="J13" s="19" t="n"/>
      <c r="K13" s="19" t="n"/>
      <c r="L13" s="19" t="n"/>
      <c r="M13" s="17" t="n"/>
      <c r="N13" s="17" t="n"/>
      <c r="O13" s="17" t="n"/>
      <c r="P13" s="17" t="n"/>
    </row>
    <row r="14" ht="45" customHeight="1">
      <c r="A14" s="14" t="inlineStr">
        <is>
          <t>Custodes-9</t>
        </is>
      </c>
      <c r="B14" s="14" t="inlineStr">
        <is>
          <t>Custodes</t>
        </is>
      </c>
      <c r="C14" s="15" t="inlineStr">
        <is>
          <t>Second Sight</t>
        </is>
      </c>
      <c r="D14" s="14" t="n">
        <v>29</v>
      </c>
      <c r="E14" s="14" t="inlineStr">
        <is>
          <t>Informazione futura.</t>
        </is>
      </c>
      <c r="F14" s="18" t="inlineStr">
        <is>
          <t>Non programmato</t>
        </is>
      </c>
      <c r="G14" s="14" t="inlineStr">
        <is>
          <t>—</t>
        </is>
      </c>
      <c r="H14" s="14" t="inlineStr">
        <is>
          <t>Niente: il testo si vede sulla carta, ma il gioco non lo applica (la carta mostra 'potere non ancora attivo').</t>
        </is>
      </c>
      <c r="I14" s="14" t="n"/>
      <c r="J14" s="14" t="inlineStr">
        <is>
          <t>'Informazione futura.' non descrive una regola.</t>
        </is>
      </c>
      <c r="K14" s="14" t="inlineStr">
        <is>
          <t>Deciso il 28/10/2026: si programma insieme agli altri poteri di informazioni nascoste.</t>
        </is>
      </c>
      <c r="L14" s="14" t="inlineStr">
        <is>
          <t>Quando la giochi, vedi una carta a caso della mano di ogni avversario.</t>
        </is>
      </c>
      <c r="M14" s="17" t="inlineStr">
        <is>
          <t>Usa la proposta</t>
        </is>
      </c>
      <c r="N14" s="17" t="n"/>
      <c r="O14" s="17" t="n"/>
      <c r="P14" s="17" t="n"/>
    </row>
    <row r="15" ht="58.05" customHeight="1">
      <c r="A15" s="14" t="inlineStr">
        <is>
          <t>Custodes-10</t>
        </is>
      </c>
      <c r="B15" s="14" t="inlineStr">
        <is>
          <t>Custodes</t>
        </is>
      </c>
      <c r="C15" s="15" t="inlineStr">
        <is>
          <t>Anchor</t>
        </is>
      </c>
      <c r="D15" s="14" t="n">
        <v>21</v>
      </c>
      <c r="E15" s="14" t="inlineStr">
        <is>
          <t>Blocca recuperi.</t>
        </is>
      </c>
      <c r="F15" s="18" t="inlineStr">
        <is>
          <t>Non programmato</t>
        </is>
      </c>
      <c r="G15" s="14" t="inlineStr">
        <is>
          <t>—</t>
        </is>
      </c>
      <c r="H15" s="14" t="inlineStr">
        <is>
          <t>Niente: il testo si vede sulla carta, ma il gioco non lo applica (la carta mostra 'potere non ancora attivo').</t>
        </is>
      </c>
      <c r="I15" s="14" t="n"/>
      <c r="J15" s="14" t="inlineStr">
        <is>
          <t>Dipende dai recuperi, che oggi non esistono.</t>
        </is>
      </c>
      <c r="K15" s="14" t="inlineStr">
        <is>
          <t>Deciso il 28/10/2026: si programma insieme agli altri poteri di scarti e recuperi.</t>
        </is>
      </c>
      <c r="L15" s="14" t="inlineStr">
        <is>
          <t>Se Anchor è nella presa, in questa presa nessuno può recuperare carte (Black Echo, Echo Prime, Mnemos).</t>
        </is>
      </c>
      <c r="M15" s="17" t="inlineStr">
        <is>
          <t>Usa la proposta</t>
        </is>
      </c>
      <c r="N15" s="17" t="n"/>
      <c r="O15" s="17" t="n"/>
      <c r="P15" s="17" t="n"/>
    </row>
    <row r="16" ht="45" customHeight="1">
      <c r="A16" s="14" t="inlineStr">
        <is>
          <t>Custodes-11</t>
        </is>
      </c>
      <c r="B16" s="14" t="inlineStr">
        <is>
          <t>Custodes</t>
        </is>
      </c>
      <c r="C16" s="15" t="inlineStr">
        <is>
          <t>The Witness</t>
        </is>
      </c>
      <c r="D16" s="14" t="n">
        <v>12</v>
      </c>
      <c r="E16" s="14" t="inlineStr">
        <is>
          <t>Informazione se molto bassa.</t>
        </is>
      </c>
      <c r="F16" s="18" t="inlineStr">
        <is>
          <t>Non programmato</t>
        </is>
      </c>
      <c r="G16" s="14" t="inlineStr">
        <is>
          <t>—</t>
        </is>
      </c>
      <c r="H16" s="14" t="inlineStr">
        <is>
          <t>Niente: il testo si vede sulla carta, ma il gioco non lo applica (la carta mostra 'potere non ancora attivo').</t>
        </is>
      </c>
      <c r="I16" s="14" t="n"/>
      <c r="J16" s="14" t="inlineStr">
        <is>
          <t>'Molto bassa' e 'informazione' non sono definiti.</t>
        </is>
      </c>
      <c r="K16" s="14" t="inlineStr">
        <is>
          <t>Deciso il 28/10/2026: si programma insieme agli altri poteri di informazioni nascoste.</t>
        </is>
      </c>
      <c r="L16" s="14" t="inlineStr">
        <is>
          <t>Se è la carta di valore più basso della presa, vedi la mano di chi vince la presa.</t>
        </is>
      </c>
      <c r="M16" s="17" t="inlineStr">
        <is>
          <t>Usa la proposta</t>
        </is>
      </c>
      <c r="N16" s="17" t="n"/>
      <c r="O16" s="17" t="n"/>
      <c r="P16" s="17" t="n"/>
    </row>
    <row r="17" ht="84" customHeight="1">
      <c r="A17" s="19" t="inlineStr">
        <is>
          <t>Custodes-12</t>
        </is>
      </c>
      <c r="B17" s="19" t="inlineStr">
        <is>
          <t>Custodes</t>
        </is>
      </c>
      <c r="C17" s="24" t="inlineStr">
        <is>
          <t>Origin</t>
        </is>
      </c>
      <c r="D17" s="19" t="n">
        <v>3</v>
      </c>
      <c r="E17" s="19" t="inlineStr">
        <is>
          <t>Se prende la presa: +3 punti bonus Contratto.</t>
        </is>
      </c>
      <c r="F17" s="25" t="inlineStr">
        <is>
          <t>Programmato</t>
        </is>
      </c>
      <c r="G17" s="19" t="inlineStr">
        <is>
          <t>Dopo la presa</t>
        </is>
      </c>
      <c r="H17" s="19" t="inlineStr">
        <is>
          <t>Se Origin vince la presa, chi l'ha giocata guadagna 3 punti Contratto in più, oltre a quelli del Contratto.</t>
        </is>
      </c>
      <c r="I17" s="19" t="inlineStr">
        <is>
          <t>Si attiva nel 2% delle giocate (2 giocatori: 11% · 4 giocatori: 3% · 8 giocatori: 1%). Vince il 3% delle prese in cui segue la fazione; le carte senza potere da 0–9 ne vincono il 3%. Effetto medio sui punti: +0,06 per giocata.</t>
        </is>
      </c>
      <c r="J17" s="19" t="inlineStr">
        <is>
          <t>Con valore 3 non vince quasi mai: si attiva nel 2% delle giocate. In pratica è una carta senza potere.</t>
        </is>
      </c>
      <c r="K17" s="19" t="inlineStr">
        <is>
          <t>Già programmato.</t>
        </is>
      </c>
      <c r="L17" s="19" t="inlineStr">
        <is>
          <t>Origin sostiene la sua fazione: se la presa la vince un'altra carta Custodes, chi ha giocato Origin guadagna 2 punti.</t>
        </is>
      </c>
      <c r="M17" s="17" t="n"/>
      <c r="N17" s="17" t="n"/>
      <c r="O17" s="17" t="n"/>
      <c r="P17" s="17" t="n"/>
    </row>
    <row r="18" ht="42" customHeight="1">
      <c r="A18" s="19" t="inlineStr">
        <is>
          <t>Nullarii-0</t>
        </is>
      </c>
      <c r="B18" s="19" t="inlineStr">
        <is>
          <t>Nullarii</t>
        </is>
      </c>
      <c r="C18" s="24" t="inlineStr">
        <is>
          <t>The Unmade</t>
        </is>
      </c>
      <c r="D18" s="19" t="n">
        <v>98</v>
      </c>
      <c r="E18" s="19" t="inlineStr">
        <is>
          <t>—</t>
        </is>
      </c>
      <c r="F18" s="25" t="inlineStr">
        <is>
          <t>Senza potere</t>
        </is>
      </c>
      <c r="G18" s="19" t="inlineStr">
        <is>
          <t>—</t>
        </is>
      </c>
      <c r="H18" s="19" t="inlineStr">
        <is>
          <t>Nessun potere.</t>
        </is>
      </c>
      <c r="I18" s="19" t="n"/>
      <c r="J18" s="19" t="n"/>
      <c r="K18" s="19" t="n"/>
      <c r="L18" s="19" t="n"/>
      <c r="M18" s="17" t="n"/>
      <c r="N18" s="17" t="n"/>
      <c r="O18" s="17" t="n"/>
      <c r="P18" s="17" t="n"/>
    </row>
    <row r="19" ht="70.95" customHeight="1">
      <c r="A19" s="19" t="inlineStr">
        <is>
          <t>Nullarii-1</t>
        </is>
      </c>
      <c r="B19" s="19" t="inlineStr">
        <is>
          <t>Nullarii</t>
        </is>
      </c>
      <c r="C19" s="24" t="inlineStr">
        <is>
          <t>Vesper Null</t>
        </is>
      </c>
      <c r="D19" s="19" t="n">
        <v>88</v>
      </c>
      <c r="E19" s="19" t="inlineStr">
        <is>
          <t>Se prende la presa: -15 alla prossima carta di un avversario.</t>
        </is>
      </c>
      <c r="F19" s="25" t="inlineStr">
        <is>
          <t>Programmato</t>
        </is>
      </c>
      <c r="G19" s="19" t="inlineStr">
        <is>
          <t>Dopo la presa</t>
        </is>
      </c>
      <c r="H19" s="19" t="inlineStr">
        <is>
          <t>Se vince la presa, l'avversario con più punti nella mano (a parità, il primo in ordine di posto) avrà −15 sulla prossima carta che gioca.</t>
        </is>
      </c>
      <c r="I19" s="19" t="inlineStr">
        <is>
          <t>Si attiva nel 44% delle giocate (2 giocatori: 72% · 4 giocatori: 50% · 8 giocatori: 33%). Vince il 64% delle prese in cui segue la fazione; le carte senza potere da 80–89 ne vincono il 63%.</t>
        </is>
      </c>
      <c r="J19" s="19" t="inlineStr">
        <is>
          <t>'Un avversario' lo sceglie il gioco (quello in testa), non chi gioca la carta.</t>
        </is>
      </c>
      <c r="K19" s="19" t="inlineStr">
        <is>
          <t>Già programmato.</t>
        </is>
      </c>
      <c r="L19" s="19" t="inlineStr">
        <is>
          <t>Va bene così; oppure lo sceglie chi gioca la carta (serve la finestra di scelta).</t>
        </is>
      </c>
      <c r="M19" s="17" t="inlineStr">
        <is>
          <t>Va bene così</t>
        </is>
      </c>
      <c r="N19" s="17" t="n"/>
      <c r="O19" s="17" t="n"/>
      <c r="P19" s="17" t="n"/>
    </row>
    <row r="20" ht="58.05" customHeight="1">
      <c r="A20" s="14" t="inlineStr">
        <is>
          <t>Nullarii-2</t>
        </is>
      </c>
      <c r="B20" s="14" t="inlineStr">
        <is>
          <t>Nullarii</t>
        </is>
      </c>
      <c r="C20" s="15" t="inlineStr">
        <is>
          <t>Oblivion</t>
        </is>
      </c>
      <c r="D20" s="14" t="n">
        <v>81</v>
      </c>
      <c r="E20" s="14" t="inlineStr">
        <is>
          <t>Se prende la presa, tutti scartano una carta non giocata.</t>
        </is>
      </c>
      <c r="F20" s="18" t="inlineStr">
        <is>
          <t>Non programmato</t>
        </is>
      </c>
      <c r="G20" s="14" t="inlineStr">
        <is>
          <t>—</t>
        </is>
      </c>
      <c r="H20" s="14" t="inlineStr">
        <is>
          <t>Niente: il testo si vede sulla carta, ma il gioco non lo applica (la carta mostra 'potere non ancora attivo').</t>
        </is>
      </c>
      <c r="I20" s="14" t="n"/>
      <c r="J20" s="14" t="inlineStr">
        <is>
          <t>Scartare dalla mano lascia a ognuno meno carte delle prese che restano.</t>
        </is>
      </c>
      <c r="K20" s="14" t="inlineStr">
        <is>
          <t>Deciso il 28/10/2026: si programma insieme agli altri poteri di scarti e prese variabili.</t>
        </is>
      </c>
      <c r="L20" s="14" t="inlineStr">
        <is>
          <t>Con le 'prese variabili': se vince la presa, ogni avversario scarta una carta a scelta dalla mano (esce dal gioco) e salterà l'ultima presa.</t>
        </is>
      </c>
      <c r="M20" s="17" t="inlineStr">
        <is>
          <t>Nuova regola (scrivi in O)</t>
        </is>
      </c>
      <c r="N20" s="17" t="n"/>
      <c r="O20" s="14" t="inlineStr">
        <is>
          <t>Con le 'prese variabili': se vince la presa, ogni giocatore scarta una carta a scelta dalla mano (esce dal gioco) e si salterà l'ultima presa.</t>
        </is>
      </c>
      <c r="P20" s="17" t="n"/>
    </row>
    <row r="21" ht="84" customHeight="1">
      <c r="A21" s="19" t="inlineStr">
        <is>
          <t>Nullarii-3</t>
        </is>
      </c>
      <c r="B21" s="19" t="inlineStr">
        <is>
          <t>Nullarii</t>
        </is>
      </c>
      <c r="C21" s="24" t="inlineStr">
        <is>
          <t>Maledict</t>
        </is>
      </c>
      <c r="D21" s="19" t="n">
        <v>73</v>
      </c>
      <c r="E21" s="19" t="inlineStr">
        <is>
          <t>Se non prende la presa, il vincitore perde 1 punto Contratto.</t>
        </is>
      </c>
      <c r="F21" s="25" t="inlineStr">
        <is>
          <t>Programmato</t>
        </is>
      </c>
      <c r="G21" s="19" t="inlineStr">
        <is>
          <t>Dopo la presa</t>
        </is>
      </c>
      <c r="H21" s="19" t="inlineStr">
        <is>
          <t>Se non vince la presa, chi l'ha vinta perde 1 punto Contratto. Vale anche se Maledict è stata giocata fuori fazione e non poteva vincere.</t>
        </is>
      </c>
      <c r="I21" s="19" t="inlineStr">
        <is>
          <t>Si attiva nel 74% delle giocate (2 giocatori: 38% · 4 giocatori: 66% · 8 giocatori: 85%). Vince il 37% delle prese in cui segue la fazione; le carte senza potere da 70–79 ne vincono il 43%. Effetto medio sui punti: -0,74 per giocata.</t>
        </is>
      </c>
      <c r="J21" s="19" t="inlineStr">
        <is>
          <t>Il potere più pesante sui punti: in media toglie 0,74 punti a ogni giocata; in 8 giocatori si attiva nell'85% dei casi.</t>
        </is>
      </c>
      <c r="K21" s="19" t="inlineStr">
        <is>
          <t>Già programmato.</t>
        </is>
      </c>
      <c r="L21" s="19" t="inlineStr">
        <is>
          <t>Si attiva solo se Maledict ha seguito la fazione d'apertura.</t>
        </is>
      </c>
      <c r="M21" s="17" t="n"/>
      <c r="N21" s="17" t="n"/>
      <c r="O21" s="17" t="n"/>
      <c r="P21" s="17" t="n"/>
    </row>
    <row r="22" ht="58.05" customHeight="1">
      <c r="A22" s="14" t="inlineStr">
        <is>
          <t>Nullarii-4</t>
        </is>
      </c>
      <c r="B22" s="14" t="inlineStr">
        <is>
          <t>Nullarii</t>
        </is>
      </c>
      <c r="C22" s="15" t="inlineStr">
        <is>
          <t>Black Echo</t>
        </is>
      </c>
      <c r="D22" s="14" t="n">
        <v>65</v>
      </c>
      <c r="E22" s="14" t="inlineStr">
        <is>
          <t>La prima volta che perde può tornare in mano, scartando un'altra carta non giocata a tua scelta.</t>
        </is>
      </c>
      <c r="F22" s="18" t="inlineStr">
        <is>
          <t>Non programmato</t>
        </is>
      </c>
      <c r="G22" s="14" t="inlineStr">
        <is>
          <t>—</t>
        </is>
      </c>
      <c r="H22" s="14" t="inlineStr">
        <is>
          <t>Niente: il testo si vede sulla carta, ma il gioco non lo applica (la carta mostra 'potere non ancora attivo').</t>
        </is>
      </c>
      <c r="I22" s="14" t="n"/>
      <c r="J22" s="14" t="inlineStr">
        <is>
          <t>Tornare in mano lascia una carta in più a fine mano.</t>
        </is>
      </c>
      <c r="K22" s="14" t="inlineStr">
        <is>
          <t>Deciso il 28/10/2026: si programma insieme agli altri poteri di scarti e recuperi.</t>
        </is>
      </c>
      <c r="L22" s="14" t="inlineStr">
        <is>
          <t>La prima volta che perde una presa, puoi riprenderla in mano scartando un'altra carta (regola dello 'scambio').</t>
        </is>
      </c>
      <c r="M22" s="17" t="inlineStr">
        <is>
          <t>Usa la proposta</t>
        </is>
      </c>
      <c r="N22" s="14" t="inlineStr">
        <is>
          <t>La prima volta che perde può tornare in mano, scartando un'altra carta non giocata a tua scelta.</t>
        </is>
      </c>
      <c r="O22" s="17" t="n"/>
      <c r="P22" s="17" t="n"/>
    </row>
    <row r="23" ht="42" customHeight="1">
      <c r="A23" s="19" t="inlineStr">
        <is>
          <t>Nullarii-5</t>
        </is>
      </c>
      <c r="B23" s="19" t="inlineStr">
        <is>
          <t>Nullarii</t>
        </is>
      </c>
      <c r="C23" s="24" t="inlineStr">
        <is>
          <t>Ruinborn</t>
        </is>
      </c>
      <c r="D23" s="19" t="n">
        <v>58</v>
      </c>
      <c r="E23" s="19" t="inlineStr">
        <is>
          <t>—</t>
        </is>
      </c>
      <c r="F23" s="25" t="inlineStr">
        <is>
          <t>Senza potere</t>
        </is>
      </c>
      <c r="G23" s="19" t="inlineStr">
        <is>
          <t>—</t>
        </is>
      </c>
      <c r="H23" s="19" t="inlineStr">
        <is>
          <t>Nessun potere.</t>
        </is>
      </c>
      <c r="I23" s="19" t="n"/>
      <c r="J23" s="19" t="n"/>
      <c r="K23" s="19" t="n"/>
      <c r="L23" s="19" t="n"/>
      <c r="M23" s="17" t="n"/>
      <c r="N23" s="17" t="n"/>
      <c r="O23" s="17" t="n"/>
      <c r="P23" s="17" t="n"/>
    </row>
    <row r="24" ht="58.05" customHeight="1">
      <c r="A24" s="19" t="inlineStr">
        <is>
          <t>Nullarii-6</t>
        </is>
      </c>
      <c r="B24" s="19" t="inlineStr">
        <is>
          <t>Nullarii</t>
        </is>
      </c>
      <c r="C24" s="24" t="inlineStr">
        <is>
          <t>Nullchild</t>
        </is>
      </c>
      <c r="D24" s="19" t="n">
        <v>49</v>
      </c>
      <c r="E24" s="19" t="inlineStr">
        <is>
          <t>Se prende la presa, un avversario salta la prossima.</t>
        </is>
      </c>
      <c r="F24" s="25" t="inlineStr">
        <is>
          <t>Programmato</t>
        </is>
      </c>
      <c r="G24" s="19" t="inlineStr">
        <is>
          <t>Dopo la presa</t>
        </is>
      </c>
      <c r="H24" s="19" t="inlineStr">
        <is>
          <t>Se vince la presa, l'avversario con più punti nella mano salta la presa successiva (nell'ultima presa non succede niente). La carta che gli avanza viene scartata a fine mano.</t>
        </is>
      </c>
      <c r="I24" s="19" t="n"/>
      <c r="J24" s="19" t="inlineStr">
        <is>
          <t>Saltare una presa lascia una carta in più a fine mano. Il motore sa già far saltare una presa.</t>
        </is>
      </c>
      <c r="K24" s="19" t="inlineStr">
        <is>
          <t>Programmato nella versione 0.18.0.</t>
        </is>
      </c>
      <c r="L24" s="19" t="inlineStr">
        <is>
          <t>Se vince la presa, l'avversario in testa salta la presa successiva; a fine mano la carta che gli avanza viene scartata.</t>
        </is>
      </c>
      <c r="M24" s="17" t="inlineStr">
        <is>
          <t>Usa la proposta</t>
        </is>
      </c>
      <c r="N24" s="17" t="n"/>
      <c r="O24" s="17" t="n"/>
      <c r="P24" s="17" t="n"/>
    </row>
    <row r="25" ht="70.95" customHeight="1">
      <c r="A25" s="19" t="inlineStr">
        <is>
          <t>Nullarii-7</t>
        </is>
      </c>
      <c r="B25" s="19" t="inlineStr">
        <is>
          <t>Nullarii</t>
        </is>
      </c>
      <c r="C25" s="24" t="inlineStr">
        <is>
          <t>Gravemind</t>
        </is>
      </c>
      <c r="D25" s="19" t="n">
        <v>41</v>
      </c>
      <c r="E25" s="19" t="inlineStr">
        <is>
          <t>Cresce di +3 con le tue carte già giocate.</t>
        </is>
      </c>
      <c r="F25" s="25" t="inlineStr">
        <is>
          <t>Programmato</t>
        </is>
      </c>
      <c r="G25" s="19" t="inlineStr">
        <is>
          <t>Alla giocata</t>
        </is>
      </c>
      <c r="H25" s="19" t="inlineStr">
        <is>
          <t>+3 per ogni carta che hai già giocato in questa mano, al massimo +36: da 41 arriva a 77 nell'ultima presa.</t>
        </is>
      </c>
      <c r="I25" s="19" t="inlineStr">
        <is>
          <t>Si attiva nel 91% delle giocate (2 giocatori: 95% · 4 giocatori: 92% · 8 giocatori: 90%). Vince il 17% delle prese in cui segue la fazione; le carte senza potere da 40–49 ne vincono il 14%.</t>
        </is>
      </c>
      <c r="J25" s="19" t="inlineStr">
        <is>
          <t>Si attiva quasi sempre (91%) ma l'effetto è piccolo.</t>
        </is>
      </c>
      <c r="K25" s="19" t="inlineStr">
        <is>
          <t>Programmato nella versione 0.18.0.</t>
        </is>
      </c>
      <c r="L25" s="19" t="inlineStr">
        <is>
          <t>Va bene così.</t>
        </is>
      </c>
      <c r="M25" s="17" t="inlineStr">
        <is>
          <t>Nuova regola (scrivi in O)</t>
        </is>
      </c>
      <c r="N25" s="14" t="inlineStr">
        <is>
          <t>Cresce di +3 con le tue carte già giocate.</t>
        </is>
      </c>
      <c r="O25" s="23" t="inlineStr">
        <is>
          <t>+3 per ogni carta che hai già giocato in questa mano, al massimo +36</t>
        </is>
      </c>
      <c r="P25" s="17" t="n"/>
    </row>
    <row r="26" ht="42" customHeight="1">
      <c r="A26" s="19" t="inlineStr">
        <is>
          <t>Nullarii-8</t>
        </is>
      </c>
      <c r="B26" s="19" t="inlineStr">
        <is>
          <t>Nullarii</t>
        </is>
      </c>
      <c r="C26" s="24" t="inlineStr">
        <is>
          <t>Hollow</t>
        </is>
      </c>
      <c r="D26" s="19" t="n">
        <v>33</v>
      </c>
      <c r="E26" s="19" t="inlineStr">
        <is>
          <t>—</t>
        </is>
      </c>
      <c r="F26" s="25" t="inlineStr">
        <is>
          <t>Senza potere</t>
        </is>
      </c>
      <c r="G26" s="19" t="inlineStr">
        <is>
          <t>—</t>
        </is>
      </c>
      <c r="H26" s="19" t="inlineStr">
        <is>
          <t>Nessun potere.</t>
        </is>
      </c>
      <c r="I26" s="19" t="n"/>
      <c r="J26" s="19" t="n"/>
      <c r="K26" s="19" t="n"/>
      <c r="L26" s="19" t="n"/>
      <c r="M26" s="17" t="n"/>
      <c r="N26" s="17" t="n"/>
      <c r="O26" s="17" t="n"/>
      <c r="P26" s="17" t="n"/>
    </row>
    <row r="27" ht="45" customHeight="1">
      <c r="A27" s="19" t="inlineStr">
        <is>
          <t>Nullarii-9</t>
        </is>
      </c>
      <c r="B27" s="19" t="inlineStr">
        <is>
          <t>Nullarii</t>
        </is>
      </c>
      <c r="C27" s="24" t="inlineStr">
        <is>
          <t>Morrowshade</t>
        </is>
      </c>
      <c r="D27" s="19" t="n">
        <v>25</v>
      </c>
      <c r="E27" s="19" t="inlineStr">
        <is>
          <t>Bonus se è la più bassa.</t>
        </is>
      </c>
      <c r="F27" s="25" t="inlineStr">
        <is>
          <t>Programmato</t>
        </is>
      </c>
      <c r="G27" s="19" t="inlineStr">
        <is>
          <t>Dopo la presa</t>
        </is>
      </c>
      <c r="H27" s="19" t="inlineStr">
        <is>
          <t>Se nessun'altra carta della presa ha un valore finale più basso, chi l'ha giocata guadagna 1 punto Contratto.</t>
        </is>
      </c>
      <c r="I27" s="19" t="n"/>
      <c r="J27" s="19" t="inlineStr">
        <is>
          <t>Scelta di Claude: a pari merito per la più bassa il punto lo prende comunque. Se non deve, scrivilo nelle note.</t>
        </is>
      </c>
      <c r="K27" s="19" t="inlineStr">
        <is>
          <t>Programmato nella versione 0.18.0.</t>
        </is>
      </c>
      <c r="L27" s="19" t="inlineStr">
        <is>
          <t>Se è la carta di valore finale più basso della presa, chi l'ha giocata guadagna 1 punto Contratto.</t>
        </is>
      </c>
      <c r="M27" s="17" t="inlineStr">
        <is>
          <t>Usa la proposta</t>
        </is>
      </c>
      <c r="N27" s="17" t="n"/>
      <c r="O27" s="17" t="n"/>
      <c r="P27" s="17" t="n"/>
    </row>
    <row r="28" ht="58.05" customHeight="1">
      <c r="A28" s="19" t="inlineStr">
        <is>
          <t>Nullarii-10</t>
        </is>
      </c>
      <c r="B28" s="19" t="inlineStr">
        <is>
          <t>Nullarii</t>
        </is>
      </c>
      <c r="C28" s="24" t="inlineStr">
        <is>
          <t>Ashen</t>
        </is>
      </c>
      <c r="D28" s="19" t="n">
        <v>17</v>
      </c>
      <c r="E28" s="19" t="inlineStr">
        <is>
          <t>Può aumentare pagando punti.</t>
        </is>
      </c>
      <c r="F28" s="25" t="inlineStr">
        <is>
          <t>Programmato</t>
        </is>
      </c>
      <c r="G28" s="19" t="inlineStr">
        <is>
          <t>Alla giocata (scelta)</t>
        </is>
      </c>
      <c r="H28" s="19" t="inlineStr">
        <is>
          <t>Quando la giochi scegli quante volte pagare 1 punto Contratto per +20, da 0 a 4 (fino a 97): un pulsante per ogni scelta. La CPU paga solo se vincere la presa le rende più di quanto spende.</t>
        </is>
      </c>
      <c r="I28" s="19" t="n"/>
      <c r="J28" s="19" t="inlineStr">
        <is>
          <t>Non dice quanti punti si pagano né quanto aumenta. Oggi ha lo stesso testo di Fury.</t>
        </is>
      </c>
      <c r="K28" s="19" t="inlineStr">
        <is>
          <t>Programmato nella versione 0.19.0.</t>
        </is>
      </c>
      <c r="L28" s="19" t="inlineStr">
        <is>
          <t>Quando la giochi puoi pagare 1 punto Contratto per +20, al massimo 2 volte (fino a 57).</t>
        </is>
      </c>
      <c r="M28" s="17" t="inlineStr">
        <is>
          <t>Nuova regola (scrivi in O)</t>
        </is>
      </c>
      <c r="N28" s="17" t="n"/>
      <c r="O28" s="14" t="inlineStr">
        <is>
          <t>Quando la giochi puoi pagare 1 punto Contratto per +20, al massimo 4 volte (fino a 97).</t>
        </is>
      </c>
      <c r="P28" s="17" t="n"/>
    </row>
    <row r="29" ht="45" customHeight="1">
      <c r="A29" s="19" t="inlineStr">
        <is>
          <t>Nullarii-11</t>
        </is>
      </c>
      <c r="B29" s="19" t="inlineStr">
        <is>
          <t>Nullarii</t>
        </is>
      </c>
      <c r="C29" s="24" t="inlineStr">
        <is>
          <t>Paradox</t>
        </is>
      </c>
      <c r="D29" s="19" t="n">
        <v>9</v>
      </c>
      <c r="E29" s="19" t="inlineStr">
        <is>
          <t>Interagisce con valori identici.</t>
        </is>
      </c>
      <c r="F29" s="25" t="inlineStr">
        <is>
          <t>Programmato</t>
        </is>
      </c>
      <c r="G29" s="19" t="inlineStr">
        <is>
          <t>Alla rivelazione</t>
        </is>
      </c>
      <c r="H29" s="19" t="inlineStr">
        <is>
          <t>Se due o più carte della presa hanno lo stesso valore finale, Paradox vale 99. Si controlla dopo gli altri poteri di valore e prima di Measure.</t>
        </is>
      </c>
      <c r="I29" s="19" t="n"/>
      <c r="J29" s="19" t="inlineStr">
        <is>
          <t>Scelta di Claude: conta anche il valore di Paradox (con Faded One, che vale 9 come lei, diventa 99).</t>
        </is>
      </c>
      <c r="K29" s="19" t="inlineStr">
        <is>
          <t>Programmato nella versione 0.18.0.</t>
        </is>
      </c>
      <c r="L29" s="19" t="inlineStr">
        <is>
          <t>Se due o più carte della presa hanno lo stesso valore finale, Paradox vale 99.</t>
        </is>
      </c>
      <c r="M29" s="17" t="inlineStr">
        <is>
          <t>Usa la proposta</t>
        </is>
      </c>
      <c r="N29" s="17" t="n"/>
      <c r="O29" s="17" t="n"/>
      <c r="P29" s="17" t="n"/>
    </row>
    <row r="30" ht="84" customHeight="1">
      <c r="A30" s="19" t="inlineStr">
        <is>
          <t>Nullarii-12</t>
        </is>
      </c>
      <c r="B30" s="19" t="inlineStr">
        <is>
          <t>Nullarii</t>
        </is>
      </c>
      <c r="C30" s="24" t="inlineStr">
        <is>
          <t>Zero</t>
        </is>
      </c>
      <c r="D30" s="19" t="n">
        <v>1</v>
      </c>
      <c r="E30" s="19" t="inlineStr">
        <is>
          <t>Se prende la presa: +4 punti bonus Contratto.</t>
        </is>
      </c>
      <c r="F30" s="25" t="inlineStr">
        <is>
          <t>Programmato</t>
        </is>
      </c>
      <c r="G30" s="19" t="inlineStr">
        <is>
          <t>Dopo la presa</t>
        </is>
      </c>
      <c r="H30" s="19" t="inlineStr">
        <is>
          <t>Se Zero vince la presa, chi l'ha giocata guadagna 4 punti Contratto in più.</t>
        </is>
      </c>
      <c r="I30" s="19" t="inlineStr">
        <is>
          <t>Si attiva nel 2% delle giocate (2 giocatori: 7% · 4 giocatori: 3% · 8 giocatori: 1%). Vince il 3% delle prese in cui segue la fazione; le carte senza potere da 0–9 ne vincono il 3%. Effetto medio sui punti: +0,08 per giocata.</t>
        </is>
      </c>
      <c r="J30" s="19" t="inlineStr">
        <is>
          <t>Con valore 1 non vince quasi mai: si attiva nel 2% delle giocate.</t>
        </is>
      </c>
      <c r="K30" s="19" t="inlineStr">
        <is>
          <t>Già programmato.</t>
        </is>
      </c>
      <c r="L30" s="19" t="inlineStr">
        <is>
          <t>Chi cattura Zero (cioè vince la presa in cui c'è Zero) perde 2 punti. Diventa una carta da evitare, in tema con i Nullarii.</t>
        </is>
      </c>
      <c r="M30" s="17" t="inlineStr">
        <is>
          <t>Va bene così</t>
        </is>
      </c>
      <c r="N30" s="17" t="n"/>
      <c r="O30" s="17" t="n"/>
      <c r="P30" s="17" t="n"/>
    </row>
    <row r="31" ht="45" customHeight="1">
      <c r="A31" s="19" t="inlineStr">
        <is>
          <t>Auguria-0</t>
        </is>
      </c>
      <c r="B31" s="19" t="inlineStr">
        <is>
          <t>Auguria</t>
        </is>
      </c>
      <c r="C31" s="24" t="inlineStr">
        <is>
          <t>Fortuna</t>
        </is>
      </c>
      <c r="D31" s="19" t="n">
        <v>94</v>
      </c>
      <c r="E31" s="19" t="inlineStr">
        <is>
          <t>—</t>
        </is>
      </c>
      <c r="F31" s="25" t="inlineStr">
        <is>
          <t>Senza potere</t>
        </is>
      </c>
      <c r="G31" s="19" t="inlineStr">
        <is>
          <t>—</t>
        </is>
      </c>
      <c r="H31" s="19" t="inlineStr">
        <is>
          <t>Nessun potere.</t>
        </is>
      </c>
      <c r="I31" s="19" t="n"/>
      <c r="J31" s="19" t="n"/>
      <c r="K31" s="19" t="n"/>
      <c r="L31" s="19" t="inlineStr">
        <is>
          <t>Auguria è la fazione dei pronostici: si può dare a questa carta un pronostico come Sibyl o Decima.</t>
        </is>
      </c>
      <c r="M31" s="17" t="n"/>
      <c r="N31" s="17" t="n"/>
      <c r="O31" s="17" t="n"/>
      <c r="P31" s="17" t="n"/>
    </row>
    <row r="32" ht="45" customHeight="1">
      <c r="A32" s="19" t="inlineStr">
        <is>
          <t>Auguria-1</t>
        </is>
      </c>
      <c r="B32" s="19" t="inlineStr">
        <is>
          <t>Auguria</t>
        </is>
      </c>
      <c r="C32" s="24" t="inlineStr">
        <is>
          <t>Praevis</t>
        </is>
      </c>
      <c r="D32" s="19" t="n">
        <v>86</v>
      </c>
      <c r="E32" s="19" t="inlineStr">
        <is>
          <t>—</t>
        </is>
      </c>
      <c r="F32" s="25" t="inlineStr">
        <is>
          <t>Senza potere</t>
        </is>
      </c>
      <c r="G32" s="19" t="inlineStr">
        <is>
          <t>—</t>
        </is>
      </c>
      <c r="H32" s="19" t="inlineStr">
        <is>
          <t>Nessun potere.</t>
        </is>
      </c>
      <c r="I32" s="19" t="n"/>
      <c r="J32" s="19" t="n"/>
      <c r="K32" s="19" t="n"/>
      <c r="L32" s="19" t="inlineStr">
        <is>
          <t>Auguria è la fazione dei pronostici: si può dare a questa carta un pronostico come Sibyl o Decima.</t>
        </is>
      </c>
      <c r="M32" s="17" t="n"/>
      <c r="N32" s="17" t="n"/>
      <c r="O32" s="17" t="n"/>
      <c r="P32" s="17" t="n"/>
    </row>
    <row r="33" ht="45" customHeight="1">
      <c r="A33" s="19" t="inlineStr">
        <is>
          <t>Auguria-2</t>
        </is>
      </c>
      <c r="B33" s="19" t="inlineStr">
        <is>
          <t>Auguria</t>
        </is>
      </c>
      <c r="C33" s="24" t="inlineStr">
        <is>
          <t>Sibyl</t>
        </is>
      </c>
      <c r="D33" s="19" t="n">
        <v>78</v>
      </c>
      <c r="E33" s="19" t="inlineStr"/>
      <c r="F33" s="25" t="inlineStr">
        <is>
          <t>Potere tolto</t>
        </is>
      </c>
      <c r="G33" s="19" t="inlineStr">
        <is>
          <t>—</t>
        </is>
      </c>
      <c r="H33" s="19" t="inlineStr">
        <is>
          <t>Nessun potere: tolto su tua decisione (versione 0.18.0). La carta resta, senza testo.</t>
        </is>
      </c>
      <c r="I33" s="19" t="n"/>
      <c r="J33" s="19" t="inlineStr">
        <is>
          <t>'Predizione.' non descrive una regola.</t>
        </is>
      </c>
      <c r="K33" s="19" t="inlineStr">
        <is>
          <t>—</t>
        </is>
      </c>
      <c r="L33" s="19" t="inlineStr">
        <is>
          <t>Quando la giochi, pronostica chi vincerà la presa: se indovini, +2 punti.</t>
        </is>
      </c>
      <c r="M33" s="17" t="inlineStr">
        <is>
          <t>Togli il potere</t>
        </is>
      </c>
      <c r="N33" s="17" t="n"/>
      <c r="O33" s="17" t="n"/>
      <c r="P33" s="17" t="n"/>
    </row>
    <row r="34" ht="45" customHeight="1">
      <c r="A34" s="19" t="inlineStr">
        <is>
          <t>Auguria-3</t>
        </is>
      </c>
      <c r="B34" s="19" t="inlineStr">
        <is>
          <t>Auguria</t>
        </is>
      </c>
      <c r="C34" s="24" t="inlineStr">
        <is>
          <t>Decima</t>
        </is>
      </c>
      <c r="D34" s="19" t="n">
        <v>70</v>
      </c>
      <c r="E34" s="19" t="inlineStr"/>
      <c r="F34" s="25" t="inlineStr">
        <is>
          <t>Potere tolto</t>
        </is>
      </c>
      <c r="G34" s="19" t="inlineStr">
        <is>
          <t>—</t>
        </is>
      </c>
      <c r="H34" s="19" t="inlineStr">
        <is>
          <t>Nessun potere: tolto su tua decisione (versione 0.18.0). La carta resta, senza testo.</t>
        </is>
      </c>
      <c r="I34" s="19" t="n"/>
      <c r="J34" s="19" t="inlineStr">
        <is>
          <t>Non dice cosa si vince se il pronostico è giusto.</t>
        </is>
      </c>
      <c r="K34" s="19" t="inlineStr">
        <is>
          <t>—</t>
        </is>
      </c>
      <c r="L34" s="19" t="inlineStr">
        <is>
          <t>Quando la giochi, pronostica se la carta vincente avrà valore sopra o sotto 50: se indovini, +1 punto.</t>
        </is>
      </c>
      <c r="M34" s="17" t="inlineStr">
        <is>
          <t>Togli il potere</t>
        </is>
      </c>
      <c r="N34" s="17" t="n"/>
      <c r="O34" s="17" t="n"/>
      <c r="P34" s="17" t="n"/>
    </row>
    <row r="35" ht="45" customHeight="1">
      <c r="A35" s="19" t="inlineStr">
        <is>
          <t>Auguria-4</t>
        </is>
      </c>
      <c r="B35" s="19" t="inlineStr">
        <is>
          <t>Auguria</t>
        </is>
      </c>
      <c r="C35" s="24" t="inlineStr">
        <is>
          <t>Kairon</t>
        </is>
      </c>
      <c r="D35" s="19" t="n">
        <v>62</v>
      </c>
      <c r="E35" s="19" t="inlineStr">
        <is>
          <t>—</t>
        </is>
      </c>
      <c r="F35" s="25" t="inlineStr">
        <is>
          <t>Senza potere</t>
        </is>
      </c>
      <c r="G35" s="19" t="inlineStr">
        <is>
          <t>—</t>
        </is>
      </c>
      <c r="H35" s="19" t="inlineStr">
        <is>
          <t>Nessun potere.</t>
        </is>
      </c>
      <c r="I35" s="19" t="n"/>
      <c r="J35" s="19" t="n"/>
      <c r="K35" s="19" t="n"/>
      <c r="L35" s="19" t="inlineStr">
        <is>
          <t>Auguria è la fazione dei pronostici: si può dare a questa carta un pronostico come Sibyl o Decima.</t>
        </is>
      </c>
      <c r="M35" s="17" t="n"/>
      <c r="N35" s="17" t="n"/>
      <c r="O35" s="17" t="n"/>
      <c r="P35" s="17" t="n"/>
    </row>
    <row r="36" ht="45" customHeight="1">
      <c r="A36" s="19" t="inlineStr">
        <is>
          <t>Auguria-5</t>
        </is>
      </c>
      <c r="B36" s="19" t="inlineStr">
        <is>
          <t>Auguria</t>
        </is>
      </c>
      <c r="C36" s="24" t="inlineStr">
        <is>
          <t>Lucent</t>
        </is>
      </c>
      <c r="D36" s="19" t="n">
        <v>55</v>
      </c>
      <c r="E36" s="19" t="inlineStr">
        <is>
          <t>—</t>
        </is>
      </c>
      <c r="F36" s="25" t="inlineStr">
        <is>
          <t>Senza potere</t>
        </is>
      </c>
      <c r="G36" s="19" t="inlineStr">
        <is>
          <t>—</t>
        </is>
      </c>
      <c r="H36" s="19" t="inlineStr">
        <is>
          <t>Nessun potere.</t>
        </is>
      </c>
      <c r="I36" s="19" t="n"/>
      <c r="J36" s="19" t="n"/>
      <c r="K36" s="19" t="n"/>
      <c r="L36" s="19" t="inlineStr">
        <is>
          <t>Auguria è la fazione dei pronostici: si può dare a questa carta un pronostico come Sibyl o Decima.</t>
        </is>
      </c>
      <c r="M36" s="17" t="n"/>
      <c r="N36" s="17" t="n"/>
      <c r="O36" s="17" t="n"/>
      <c r="P36" s="17" t="n"/>
    </row>
    <row r="37" ht="45" customHeight="1">
      <c r="A37" s="19" t="inlineStr">
        <is>
          <t>Auguria-6</t>
        </is>
      </c>
      <c r="B37" s="19" t="inlineStr">
        <is>
          <t>Auguria</t>
        </is>
      </c>
      <c r="C37" s="24" t="inlineStr">
        <is>
          <t>Morrow</t>
        </is>
      </c>
      <c r="D37" s="19" t="n">
        <v>47</v>
      </c>
      <c r="E37" s="19" t="inlineStr">
        <is>
          <t>—</t>
        </is>
      </c>
      <c r="F37" s="25" t="inlineStr">
        <is>
          <t>Senza potere</t>
        </is>
      </c>
      <c r="G37" s="19" t="inlineStr">
        <is>
          <t>—</t>
        </is>
      </c>
      <c r="H37" s="19" t="inlineStr">
        <is>
          <t>Nessun potere.</t>
        </is>
      </c>
      <c r="I37" s="19" t="n"/>
      <c r="J37" s="19" t="n"/>
      <c r="K37" s="19" t="n"/>
      <c r="L37" s="19" t="inlineStr">
        <is>
          <t>Auguria è la fazione dei pronostici: si può dare a questa carta un pronostico come Sibyl o Decima.</t>
        </is>
      </c>
      <c r="M37" s="17" t="n"/>
      <c r="N37" s="17" t="n"/>
      <c r="O37" s="17" t="n"/>
      <c r="P37" s="17" t="n"/>
    </row>
    <row r="38" ht="45" customHeight="1">
      <c r="A38" s="19" t="inlineStr">
        <is>
          <t>Auguria-7</t>
        </is>
      </c>
      <c r="B38" s="19" t="inlineStr">
        <is>
          <t>Auguria</t>
        </is>
      </c>
      <c r="C38" s="24" t="inlineStr">
        <is>
          <t>Threadseer</t>
        </is>
      </c>
      <c r="D38" s="19" t="n">
        <v>39</v>
      </c>
      <c r="E38" s="19" t="inlineStr">
        <is>
          <t>—</t>
        </is>
      </c>
      <c r="F38" s="25" t="inlineStr">
        <is>
          <t>Senza potere</t>
        </is>
      </c>
      <c r="G38" s="19" t="inlineStr">
        <is>
          <t>—</t>
        </is>
      </c>
      <c r="H38" s="19" t="inlineStr">
        <is>
          <t>Nessun potere.</t>
        </is>
      </c>
      <c r="I38" s="19" t="n"/>
      <c r="J38" s="19" t="n"/>
      <c r="K38" s="19" t="n"/>
      <c r="L38" s="19" t="inlineStr">
        <is>
          <t>Auguria è la fazione dei pronostici: si può dare a questa carta un pronostico come Sibyl o Decima.</t>
        </is>
      </c>
      <c r="M38" s="17" t="n"/>
      <c r="N38" s="17" t="n"/>
      <c r="O38" s="17" t="n"/>
      <c r="P38" s="17" t="n"/>
    </row>
    <row r="39" ht="45" customHeight="1">
      <c r="A39" s="19" t="inlineStr">
        <is>
          <t>Auguria-8</t>
        </is>
      </c>
      <c r="B39" s="19" t="inlineStr">
        <is>
          <t>Auguria</t>
        </is>
      </c>
      <c r="C39" s="24" t="inlineStr">
        <is>
          <t>Auspice</t>
        </is>
      </c>
      <c r="D39" s="19" t="n">
        <v>31</v>
      </c>
      <c r="E39" s="19" t="inlineStr">
        <is>
          <t>—</t>
        </is>
      </c>
      <c r="F39" s="25" t="inlineStr">
        <is>
          <t>Senza potere</t>
        </is>
      </c>
      <c r="G39" s="19" t="inlineStr">
        <is>
          <t>—</t>
        </is>
      </c>
      <c r="H39" s="19" t="inlineStr">
        <is>
          <t>Nessun potere.</t>
        </is>
      </c>
      <c r="I39" s="19" t="n"/>
      <c r="J39" s="19" t="n"/>
      <c r="K39" s="19" t="n"/>
      <c r="L39" s="19" t="inlineStr">
        <is>
          <t>Auguria è la fazione dei pronostici: si può dare a questa carta un pronostico come Sibyl o Decima.</t>
        </is>
      </c>
      <c r="M39" s="17" t="n"/>
      <c r="N39" s="17" t="n"/>
      <c r="O39" s="17" t="n"/>
      <c r="P39" s="17" t="n"/>
    </row>
    <row r="40" ht="45" customHeight="1">
      <c r="A40" s="19" t="inlineStr">
        <is>
          <t>Auguria-9</t>
        </is>
      </c>
      <c r="B40" s="19" t="inlineStr">
        <is>
          <t>Auguria</t>
        </is>
      </c>
      <c r="C40" s="24" t="inlineStr">
        <is>
          <t>Chanceborn</t>
        </is>
      </c>
      <c r="D40" s="19" t="n">
        <v>23</v>
      </c>
      <c r="E40" s="19" t="inlineStr">
        <is>
          <t>—</t>
        </is>
      </c>
      <c r="F40" s="25" t="inlineStr">
        <is>
          <t>Senza potere</t>
        </is>
      </c>
      <c r="G40" s="19" t="inlineStr">
        <is>
          <t>—</t>
        </is>
      </c>
      <c r="H40" s="19" t="inlineStr">
        <is>
          <t>Nessun potere.</t>
        </is>
      </c>
      <c r="I40" s="19" t="n"/>
      <c r="J40" s="19" t="n"/>
      <c r="K40" s="19" t="n"/>
      <c r="L40" s="19" t="inlineStr">
        <is>
          <t>Auguria è la fazione dei pronostici: si può dare a questa carta un pronostico come Sibyl o Decima.</t>
        </is>
      </c>
      <c r="M40" s="17" t="n"/>
      <c r="N40" s="17" t="n"/>
      <c r="O40" s="17" t="n"/>
      <c r="P40" s="17" t="n"/>
    </row>
    <row r="41" ht="45" customHeight="1">
      <c r="A41" s="19" t="inlineStr">
        <is>
          <t>Auguria-10</t>
        </is>
      </c>
      <c r="B41" s="19" t="inlineStr">
        <is>
          <t>Auguria</t>
        </is>
      </c>
      <c r="C41" s="24" t="inlineStr">
        <is>
          <t>Tertia</t>
        </is>
      </c>
      <c r="D41" s="19" t="n">
        <v>16</v>
      </c>
      <c r="E41" s="19" t="inlineStr">
        <is>
          <t>—</t>
        </is>
      </c>
      <c r="F41" s="25" t="inlineStr">
        <is>
          <t>Senza potere</t>
        </is>
      </c>
      <c r="G41" s="19" t="inlineStr">
        <is>
          <t>—</t>
        </is>
      </c>
      <c r="H41" s="19" t="inlineStr">
        <is>
          <t>Nessun potere.</t>
        </is>
      </c>
      <c r="I41" s="19" t="n"/>
      <c r="J41" s="19" t="n"/>
      <c r="K41" s="19" t="n"/>
      <c r="L41" s="19" t="inlineStr">
        <is>
          <t>Auguria è la fazione dei pronostici: si può dare a questa carta un pronostico come Sibyl o Decima.</t>
        </is>
      </c>
      <c r="M41" s="17" t="n"/>
      <c r="N41" s="17" t="n"/>
      <c r="O41" s="17" t="n"/>
      <c r="P41" s="17" t="n"/>
    </row>
    <row r="42" ht="45" customHeight="1">
      <c r="A42" s="19" t="inlineStr">
        <is>
          <t>Auguria-11</t>
        </is>
      </c>
      <c r="B42" s="19" t="inlineStr">
        <is>
          <t>Auguria</t>
        </is>
      </c>
      <c r="C42" s="24" t="inlineStr">
        <is>
          <t>Omen</t>
        </is>
      </c>
      <c r="D42" s="19" t="n">
        <v>8</v>
      </c>
      <c r="E42" s="19" t="inlineStr">
        <is>
          <t>—</t>
        </is>
      </c>
      <c r="F42" s="25" t="inlineStr">
        <is>
          <t>Senza potere</t>
        </is>
      </c>
      <c r="G42" s="19" t="inlineStr">
        <is>
          <t>—</t>
        </is>
      </c>
      <c r="H42" s="19" t="inlineStr">
        <is>
          <t>Nessun potere.</t>
        </is>
      </c>
      <c r="I42" s="19" t="n"/>
      <c r="J42" s="19" t="n"/>
      <c r="K42" s="19" t="n"/>
      <c r="L42" s="19" t="inlineStr">
        <is>
          <t>Auguria è la fazione dei pronostici: si può dare a questa carta un pronostico come Sibyl o Decima.</t>
        </is>
      </c>
      <c r="M42" s="17" t="n"/>
      <c r="N42" s="17" t="n"/>
      <c r="O42" s="17" t="n"/>
      <c r="P42" s="17" t="n"/>
    </row>
    <row r="43" ht="45" customHeight="1">
      <c r="A43" s="19" t="inlineStr">
        <is>
          <t>Auguria-12</t>
        </is>
      </c>
      <c r="B43" s="19" t="inlineStr">
        <is>
          <t>Auguria</t>
        </is>
      </c>
      <c r="C43" s="24" t="inlineStr">
        <is>
          <t>Last Oracle</t>
        </is>
      </c>
      <c r="D43" s="19" t="n">
        <v>2</v>
      </c>
      <c r="E43" s="19" t="inlineStr">
        <is>
          <t>—</t>
        </is>
      </c>
      <c r="F43" s="25" t="inlineStr">
        <is>
          <t>Senza potere</t>
        </is>
      </c>
      <c r="G43" s="19" t="inlineStr">
        <is>
          <t>—</t>
        </is>
      </c>
      <c r="H43" s="19" t="inlineStr">
        <is>
          <t>Nessun potere.</t>
        </is>
      </c>
      <c r="I43" s="19" t="n"/>
      <c r="J43" s="19" t="n"/>
      <c r="K43" s="19" t="n"/>
      <c r="L43" s="19" t="inlineStr">
        <is>
          <t>Auguria è la fazione dei pronostici: si può dare a questa carta un pronostico come Sibyl o Decima.</t>
        </is>
      </c>
      <c r="M43" s="17" t="n"/>
      <c r="N43" s="17" t="n"/>
      <c r="O43" s="17" t="n"/>
      <c r="P43" s="17" t="n"/>
    </row>
    <row r="44" ht="42" customHeight="1">
      <c r="A44" s="19" t="inlineStr">
        <is>
          <t>Reliquiae-0</t>
        </is>
      </c>
      <c r="B44" s="19" t="inlineStr">
        <is>
          <t>Reliquiae</t>
        </is>
      </c>
      <c r="C44" s="24" t="inlineStr">
        <is>
          <t>Relicta</t>
        </is>
      </c>
      <c r="D44" s="19" t="n">
        <v>92</v>
      </c>
      <c r="E44" s="19" t="inlineStr">
        <is>
          <t>—</t>
        </is>
      </c>
      <c r="F44" s="25" t="inlineStr">
        <is>
          <t>Senza potere</t>
        </is>
      </c>
      <c r="G44" s="19" t="inlineStr">
        <is>
          <t>—</t>
        </is>
      </c>
      <c r="H44" s="19" t="inlineStr">
        <is>
          <t>Nessun potere.</t>
        </is>
      </c>
      <c r="I44" s="19" t="n"/>
      <c r="J44" s="19" t="n"/>
      <c r="K44" s="19" t="n"/>
      <c r="L44" s="19" t="n"/>
      <c r="M44" s="17" t="n"/>
      <c r="N44" s="17" t="n"/>
      <c r="O44" s="17" t="n"/>
      <c r="P44" s="17" t="n"/>
    </row>
    <row r="45" ht="45" customHeight="1">
      <c r="A45" s="19" t="inlineStr">
        <is>
          <t>Reliquiae-1</t>
        </is>
      </c>
      <c r="B45" s="19" t="inlineStr">
        <is>
          <t>Reliquiae</t>
        </is>
      </c>
      <c r="C45" s="24" t="inlineStr">
        <is>
          <t>Palimpsest</t>
        </is>
      </c>
      <c r="D45" s="19" t="n">
        <v>84</v>
      </c>
      <c r="E45" s="19" t="inlineStr">
        <is>
          <t>Copia un effetto precedente.</t>
        </is>
      </c>
      <c r="F45" s="25" t="inlineStr">
        <is>
          <t>Programmato</t>
        </is>
      </c>
      <c r="G45" s="19" t="inlineStr">
        <is>
          <t>Alla giocata</t>
        </is>
      </c>
      <c r="H45" s="19" t="inlineStr">
        <is>
          <t>Copia il potere programmato dell'ultima carta con potere giocata prima di lei nella stessa presa e lo usa come suo (sul valore, alla rivelazione o dopo la presa). Se prima non c'è nessun potere, non fa niente. Se copia Fury o Ashen, si può pagare.</t>
        </is>
      </c>
      <c r="I45" s="19" t="n"/>
      <c r="J45" s="19" t="inlineStr">
        <is>
          <t>Non dice quale effetto copia, né 'precedente' rispetto a cosa.</t>
        </is>
      </c>
      <c r="K45" s="19" t="inlineStr">
        <is>
          <t>Programmato nella versione 0.18.0.</t>
        </is>
      </c>
      <c r="L45" s="19" t="inlineStr">
        <is>
          <t>Copia il potere programmato dell'ultima carta con potere giocata prima di lei nella presa.</t>
        </is>
      </c>
      <c r="M45" s="17" t="inlineStr">
        <is>
          <t>Usa la proposta</t>
        </is>
      </c>
      <c r="N45" s="17" t="n"/>
      <c r="O45" s="17" t="n"/>
      <c r="P45" s="17" t="n"/>
    </row>
    <row r="46" ht="58.05" customHeight="1">
      <c r="A46" s="14" t="inlineStr">
        <is>
          <t>Reliquiae-2</t>
        </is>
      </c>
      <c r="B46" s="14" t="inlineStr">
        <is>
          <t>Reliquiae</t>
        </is>
      </c>
      <c r="C46" s="15" t="inlineStr">
        <is>
          <t>Echo Prime</t>
        </is>
      </c>
      <c r="D46" s="14" t="n">
        <v>77</v>
      </c>
      <c r="E46" s="14" t="inlineStr">
        <is>
          <t>Può tornare in mano una volta.</t>
        </is>
      </c>
      <c r="F46" s="18" t="inlineStr">
        <is>
          <t>Non programmato</t>
        </is>
      </c>
      <c r="G46" s="14" t="inlineStr">
        <is>
          <t>—</t>
        </is>
      </c>
      <c r="H46" s="14" t="inlineStr">
        <is>
          <t>Niente: il testo si vede sulla carta, ma il gioco non lo applica (la carta mostra 'potere non ancora attivo').</t>
        </is>
      </c>
      <c r="I46" s="14" t="n"/>
      <c r="J46" s="14" t="inlineStr">
        <is>
          <t>Tornare in mano lascia una carta in più a fine mano.</t>
        </is>
      </c>
      <c r="K46" s="14" t="inlineStr">
        <is>
          <t>Deciso il 28/10/2026: si programma insieme agli altri poteri di scarti e recuperi.</t>
        </is>
      </c>
      <c r="L46" s="14" t="inlineStr">
        <is>
          <t>Una volta per mano, dopo averla giocata puoi riprenderla in mano scartando un'altra carta.</t>
        </is>
      </c>
      <c r="M46" s="17" t="inlineStr">
        <is>
          <t>Usa la proposta</t>
        </is>
      </c>
      <c r="N46" s="17" t="n"/>
      <c r="O46" s="17" t="n"/>
      <c r="P46" s="17" t="n"/>
    </row>
    <row r="47" ht="58.05" customHeight="1">
      <c r="A47" s="14" t="inlineStr">
        <is>
          <t>Reliquiae-3</t>
        </is>
      </c>
      <c r="B47" s="14" t="inlineStr">
        <is>
          <t>Reliquiae</t>
        </is>
      </c>
      <c r="C47" s="15" t="inlineStr">
        <is>
          <t>Mnemos</t>
        </is>
      </c>
      <c r="D47" s="14" t="n">
        <v>69</v>
      </c>
      <c r="E47" s="14" t="inlineStr">
        <is>
          <t>Può recuperare una carta bassa.</t>
        </is>
      </c>
      <c r="F47" s="18" t="inlineStr">
        <is>
          <t>Non programmato</t>
        </is>
      </c>
      <c r="G47" s="14" t="inlineStr">
        <is>
          <t>—</t>
        </is>
      </c>
      <c r="H47" s="14" t="inlineStr">
        <is>
          <t>Niente: il testo si vede sulla carta, ma il gioco non lo applica (la carta mostra 'potere non ancora attivo').</t>
        </is>
      </c>
      <c r="I47" s="14" t="n"/>
      <c r="J47" s="14" t="inlineStr">
        <is>
          <t>'Carta bassa' non è definita e recuperare aggiunge una carta alla mano.</t>
        </is>
      </c>
      <c r="K47" s="14" t="inlineStr">
        <is>
          <t>Deciso il 28/10/2026: si programma insieme agli altri poteri di scarti e recuperi.</t>
        </is>
      </c>
      <c r="L47" s="14" t="inlineStr">
        <is>
          <t>Se vince la presa, puoi prendere in mano una carta di valore 20 o meno catturata in questa presa, scartando una tua carta.</t>
        </is>
      </c>
      <c r="M47" s="17" t="inlineStr">
        <is>
          <t>Usa la proposta</t>
        </is>
      </c>
      <c r="N47" s="17" t="n"/>
      <c r="O47" s="17" t="n"/>
      <c r="P47" s="17" t="n"/>
    </row>
    <row r="48" ht="42" customHeight="1">
      <c r="A48" s="19" t="inlineStr">
        <is>
          <t>Reliquiae-4</t>
        </is>
      </c>
      <c r="B48" s="19" t="inlineStr">
        <is>
          <t>Reliquiae</t>
        </is>
      </c>
      <c r="C48" s="24" t="inlineStr">
        <is>
          <t>Violet Wraith</t>
        </is>
      </c>
      <c r="D48" s="19" t="n">
        <v>61</v>
      </c>
      <c r="E48" s="19" t="inlineStr">
        <is>
          <t>—</t>
        </is>
      </c>
      <c r="F48" s="25" t="inlineStr">
        <is>
          <t>Senza potere</t>
        </is>
      </c>
      <c r="G48" s="19" t="inlineStr">
        <is>
          <t>—</t>
        </is>
      </c>
      <c r="H48" s="19" t="inlineStr">
        <is>
          <t>Nessun potere.</t>
        </is>
      </c>
      <c r="I48" s="19" t="n"/>
      <c r="J48" s="19" t="n"/>
      <c r="K48" s="19" t="n"/>
      <c r="L48" s="19" t="n"/>
      <c r="M48" s="17" t="n"/>
      <c r="N48" s="17" t="n"/>
      <c r="O48" s="17" t="n"/>
      <c r="P48" s="17" t="n"/>
    </row>
    <row r="49" ht="58.05" customHeight="1">
      <c r="A49" s="14" t="inlineStr">
        <is>
          <t>Reliquiae-5</t>
        </is>
      </c>
      <c r="B49" s="14" t="inlineStr">
        <is>
          <t>Reliquiae</t>
        </is>
      </c>
      <c r="C49" s="15" t="inlineStr">
        <is>
          <t>Archivist</t>
        </is>
      </c>
      <c r="D49" s="14" t="n">
        <v>54</v>
      </c>
      <c r="E49" s="14" t="inlineStr">
        <is>
          <t>Può usare un valore dagli scarti.</t>
        </is>
      </c>
      <c r="F49" s="18" t="inlineStr">
        <is>
          <t>Non programmato</t>
        </is>
      </c>
      <c r="G49" s="14" t="inlineStr">
        <is>
          <t>—</t>
        </is>
      </c>
      <c r="H49" s="14" t="inlineStr">
        <is>
          <t>Niente: il testo si vede sulla carta, ma il gioco non lo applica (la carta mostra 'potere non ancora attivo').</t>
        </is>
      </c>
      <c r="I49" s="14" t="n"/>
      <c r="J49" s="14" t="inlineStr">
        <is>
          <t>Gli 'scarti' oggi non esistono.</t>
        </is>
      </c>
      <c r="K49" s="14" t="inlineStr">
        <is>
          <t>Deciso il 28/10/2026: si programma insieme agli altri poteri di scarti e recuperi.</t>
        </is>
      </c>
      <c r="L49" s="14" t="inlineStr">
        <is>
          <t>Quando la giochi, puoi darle il valore stampato di una carta che si trova negli scarti.</t>
        </is>
      </c>
      <c r="M49" s="17" t="inlineStr">
        <is>
          <t>Usa la proposta</t>
        </is>
      </c>
      <c r="N49" s="17" t="n"/>
      <c r="O49" s="17" t="n"/>
      <c r="P49" s="17" t="n"/>
    </row>
    <row r="50" ht="70.95" customHeight="1">
      <c r="A50" s="19" t="inlineStr">
        <is>
          <t>Reliquiae-6</t>
        </is>
      </c>
      <c r="B50" s="19" t="inlineStr">
        <is>
          <t>Reliquiae</t>
        </is>
      </c>
      <c r="C50" s="24" t="inlineStr">
        <is>
          <t>Afterimage</t>
        </is>
      </c>
      <c r="D50" s="19" t="n">
        <v>46</v>
      </c>
      <c r="E50" s="19" t="inlineStr">
        <is>
          <t>Se la carta precedente era 70+, +20.</t>
        </is>
      </c>
      <c r="F50" s="25" t="inlineStr">
        <is>
          <t>Programmato</t>
        </is>
      </c>
      <c r="G50" s="19" t="inlineStr">
        <is>
          <t>Alla giocata</t>
        </is>
      </c>
      <c r="H50" s="19" t="inlineStr">
        <is>
          <t>Se l'ultima carta che TU hai giocato prima di questa (anche in una presa precedente) aveva valore stampato 70 o più, vale +20 (66).</t>
        </is>
      </c>
      <c r="I50" s="19" t="inlineStr">
        <is>
          <t>Si attiva nel 22% delle giocate (2 giocatori: 22% · 4 giocatori: 19% · 8 giocatori: 21%). Vince il 20% delle prese in cui segue la fazione; le carte senza potere da 40–49 ne vincono il 14%.</t>
        </is>
      </c>
      <c r="J50" s="19" t="inlineStr">
        <is>
          <t>Ambiguo: 'la carta precedente' potrebbe essere quella giocata subito prima nella stessa presa, da chiunque. Oggi è la tua carta precedente.</t>
        </is>
      </c>
      <c r="K50" s="19" t="inlineStr">
        <is>
          <t>Già programmato.</t>
        </is>
      </c>
      <c r="L50" s="19" t="inlineStr">
        <is>
          <t>Decidi quale 'carta precedente' intendi (foglio 'Decisioni generali', punto 7); per il resto va bene.</t>
        </is>
      </c>
      <c r="M50" s="17" t="n"/>
      <c r="N50" s="17" t="n"/>
      <c r="O50" s="17" t="n"/>
      <c r="P50" s="17" t="n"/>
    </row>
    <row r="51" ht="42" customHeight="1">
      <c r="A51" s="19" t="inlineStr">
        <is>
          <t>Reliquiae-7</t>
        </is>
      </c>
      <c r="B51" s="19" t="inlineStr">
        <is>
          <t>Reliquiae</t>
        </is>
      </c>
      <c r="C51" s="24" t="inlineStr">
        <is>
          <t>Lost Saint</t>
        </is>
      </c>
      <c r="D51" s="19" t="n">
        <v>38</v>
      </c>
      <c r="E51" s="19" t="inlineStr">
        <is>
          <t>—</t>
        </is>
      </c>
      <c r="F51" s="25" t="inlineStr">
        <is>
          <t>Senza potere</t>
        </is>
      </c>
      <c r="G51" s="19" t="inlineStr">
        <is>
          <t>—</t>
        </is>
      </c>
      <c r="H51" s="19" t="inlineStr">
        <is>
          <t>Nessun potere.</t>
        </is>
      </c>
      <c r="I51" s="19" t="n"/>
      <c r="J51" s="19" t="n"/>
      <c r="K51" s="19" t="n"/>
      <c r="L51" s="19" t="n"/>
      <c r="M51" s="17" t="n"/>
      <c r="N51" s="17" t="n"/>
      <c r="O51" s="17" t="n"/>
      <c r="P51" s="17" t="n"/>
    </row>
    <row r="52" ht="42" customHeight="1">
      <c r="A52" s="19" t="inlineStr">
        <is>
          <t>Reliquiae-8</t>
        </is>
      </c>
      <c r="B52" s="19" t="inlineStr">
        <is>
          <t>Reliquiae</t>
        </is>
      </c>
      <c r="C52" s="24" t="inlineStr">
        <is>
          <t>Remnant</t>
        </is>
      </c>
      <c r="D52" s="19" t="n">
        <v>30</v>
      </c>
      <c r="E52" s="19" t="inlineStr">
        <is>
          <t>—</t>
        </is>
      </c>
      <c r="F52" s="25" t="inlineStr">
        <is>
          <t>Senza potere</t>
        </is>
      </c>
      <c r="G52" s="19" t="inlineStr">
        <is>
          <t>—</t>
        </is>
      </c>
      <c r="H52" s="19" t="inlineStr">
        <is>
          <t>Nessun potere.</t>
        </is>
      </c>
      <c r="I52" s="19" t="n"/>
      <c r="J52" s="19" t="n"/>
      <c r="K52" s="19" t="n"/>
      <c r="L52" s="19" t="n"/>
      <c r="M52" s="17" t="n"/>
      <c r="N52" s="17" t="n"/>
      <c r="O52" s="17" t="n"/>
      <c r="P52" s="17" t="n"/>
    </row>
    <row r="53" ht="42" customHeight="1">
      <c r="A53" s="19" t="inlineStr">
        <is>
          <t>Reliquiae-9</t>
        </is>
      </c>
      <c r="B53" s="19" t="inlineStr">
        <is>
          <t>Reliquiae</t>
        </is>
      </c>
      <c r="C53" s="24" t="inlineStr">
        <is>
          <t>Remainder</t>
        </is>
      </c>
      <c r="D53" s="19" t="n">
        <v>22</v>
      </c>
      <c r="E53" s="19" t="inlineStr">
        <is>
          <t>—</t>
        </is>
      </c>
      <c r="F53" s="25" t="inlineStr">
        <is>
          <t>Senza potere</t>
        </is>
      </c>
      <c r="G53" s="19" t="inlineStr">
        <is>
          <t>—</t>
        </is>
      </c>
      <c r="H53" s="19" t="inlineStr">
        <is>
          <t>Nessun potere.</t>
        </is>
      </c>
      <c r="I53" s="19" t="n"/>
      <c r="J53" s="19" t="n"/>
      <c r="K53" s="19" t="n"/>
      <c r="L53" s="19" t="n"/>
      <c r="M53" s="17" t="n"/>
      <c r="N53" s="17" t="n"/>
      <c r="O53" s="17" t="n"/>
      <c r="P53" s="17" t="n"/>
    </row>
    <row r="54" ht="58.05" customHeight="1">
      <c r="A54" s="14" t="inlineStr">
        <is>
          <t>Reliquiae-10</t>
        </is>
      </c>
      <c r="B54" s="14" t="inlineStr">
        <is>
          <t>Reliquiae</t>
        </is>
      </c>
      <c r="C54" s="15" t="inlineStr">
        <is>
          <t>Unwritten</t>
        </is>
      </c>
      <c r="D54" s="14" t="n">
        <v>15</v>
      </c>
      <c r="E54" s="14" t="inlineStr">
        <is>
          <t>Bonus se scartata da un effetto.</t>
        </is>
      </c>
      <c r="F54" s="18" t="inlineStr">
        <is>
          <t>Non programmato</t>
        </is>
      </c>
      <c r="G54" s="14" t="inlineStr">
        <is>
          <t>—</t>
        </is>
      </c>
      <c r="H54" s="14" t="inlineStr">
        <is>
          <t>Niente: il testo si vede sulla carta, ma il gioco non lo applica (la carta mostra 'potere non ancora attivo').</t>
        </is>
      </c>
      <c r="I54" s="14" t="n"/>
      <c r="J54" s="14" t="inlineStr">
        <is>
          <t>'Bonus' non definito; dipende dagli scarti.</t>
        </is>
      </c>
      <c r="K54" s="14" t="inlineStr">
        <is>
          <t>Deciso il 28/10/2026: si programma insieme agli altri poteri di scarti e recuperi.</t>
        </is>
      </c>
      <c r="L54" s="14" t="inlineStr">
        <is>
          <t>Se viene scartata da un potere, chi la possedeva guadagna 2 punti Contratto.</t>
        </is>
      </c>
      <c r="M54" s="17" t="inlineStr">
        <is>
          <t>Usa la proposta</t>
        </is>
      </c>
      <c r="N54" s="17" t="n"/>
      <c r="O54" s="17" t="n"/>
      <c r="P54" s="17" t="n"/>
    </row>
    <row r="55" ht="58.05" customHeight="1">
      <c r="A55" s="14" t="inlineStr">
        <is>
          <t>Reliquiae-11</t>
        </is>
      </c>
      <c r="B55" s="14" t="inlineStr">
        <is>
          <t>Reliquiae</t>
        </is>
      </c>
      <c r="C55" s="15" t="inlineStr">
        <is>
          <t>Faded One</t>
        </is>
      </c>
      <c r="D55" s="14" t="n">
        <v>9</v>
      </c>
      <c r="E55" s="14" t="inlineStr">
        <is>
          <t>Resiste agli scarti.</t>
        </is>
      </c>
      <c r="F55" s="18" t="inlineStr">
        <is>
          <t>Non programmato</t>
        </is>
      </c>
      <c r="G55" s="14" t="inlineStr">
        <is>
          <t>—</t>
        </is>
      </c>
      <c r="H55" s="14" t="inlineStr">
        <is>
          <t>Niente: il testo si vede sulla carta, ma il gioco non lo applica (la carta mostra 'potere non ancora attivo').</t>
        </is>
      </c>
      <c r="I55" s="14" t="n"/>
      <c r="J55" s="14" t="inlineStr">
        <is>
          <t>Dipende dagli scarti.</t>
        </is>
      </c>
      <c r="K55" s="14" t="inlineStr">
        <is>
          <t>Deciso il 28/10/2026: si programma insieme agli altri poteri di scarti e recuperi.</t>
        </is>
      </c>
      <c r="L55" s="14" t="inlineStr">
        <is>
          <t>Non può essere scartata dai poteri.</t>
        </is>
      </c>
      <c r="M55" s="17" t="inlineStr">
        <is>
          <t>Usa la proposta</t>
        </is>
      </c>
      <c r="N55" s="17" t="n"/>
      <c r="O55" s="17" t="n"/>
      <c r="P55" s="17" t="n"/>
    </row>
    <row r="56" ht="42" customHeight="1">
      <c r="A56" s="19" t="inlineStr">
        <is>
          <t>Reliquiae-12</t>
        </is>
      </c>
      <c r="B56" s="19" t="inlineStr">
        <is>
          <t>Reliquiae</t>
        </is>
      </c>
      <c r="C56" s="24" t="inlineStr">
        <is>
          <t>Vestige</t>
        </is>
      </c>
      <c r="D56" s="19" t="n">
        <v>4</v>
      </c>
      <c r="E56" s="19" t="inlineStr">
        <is>
          <t>—</t>
        </is>
      </c>
      <c r="F56" s="25" t="inlineStr">
        <is>
          <t>Senza potere</t>
        </is>
      </c>
      <c r="G56" s="19" t="inlineStr">
        <is>
          <t>—</t>
        </is>
      </c>
      <c r="H56" s="19" t="inlineStr">
        <is>
          <t>Nessun potere.</t>
        </is>
      </c>
      <c r="I56" s="19" t="n"/>
      <c r="J56" s="19" t="n"/>
      <c r="K56" s="19" t="n"/>
      <c r="L56" s="19" t="n"/>
      <c r="M56" s="17" t="n"/>
      <c r="N56" s="17" t="n"/>
      <c r="O56" s="17" t="n"/>
      <c r="P56" s="17" t="n"/>
    </row>
    <row r="57" ht="42" customHeight="1">
      <c r="A57" s="19" t="inlineStr">
        <is>
          <t>Dominari-0</t>
        </is>
      </c>
      <c r="B57" s="19" t="inlineStr">
        <is>
          <t>Dominari</t>
        </is>
      </c>
      <c r="C57" s="24" t="inlineStr">
        <is>
          <t>Imperator</t>
        </is>
      </c>
      <c r="D57" s="19" t="n">
        <v>99</v>
      </c>
      <c r="E57" s="19" t="inlineStr">
        <is>
          <t>—</t>
        </is>
      </c>
      <c r="F57" s="25" t="inlineStr">
        <is>
          <t>Senza potere</t>
        </is>
      </c>
      <c r="G57" s="19" t="inlineStr">
        <is>
          <t>—</t>
        </is>
      </c>
      <c r="H57" s="19" t="inlineStr">
        <is>
          <t>Nessun potere.</t>
        </is>
      </c>
      <c r="I57" s="19" t="n"/>
      <c r="J57" s="19" t="n"/>
      <c r="K57" s="19" t="n"/>
      <c r="L57" s="19" t="n"/>
      <c r="M57" s="17" t="n"/>
      <c r="N57" s="17" t="n"/>
      <c r="O57" s="17" t="n"/>
      <c r="P57" s="17" t="n"/>
    </row>
    <row r="58" ht="42" customHeight="1">
      <c r="A58" s="19" t="inlineStr">
        <is>
          <t>Dominari-1</t>
        </is>
      </c>
      <c r="B58" s="19" t="inlineStr">
        <is>
          <t>Dominari</t>
        </is>
      </c>
      <c r="C58" s="24" t="inlineStr">
        <is>
          <t>Vexor</t>
        </is>
      </c>
      <c r="D58" s="19" t="n">
        <v>90</v>
      </c>
      <c r="E58" s="19" t="inlineStr">
        <is>
          <t>—</t>
        </is>
      </c>
      <c r="F58" s="25" t="inlineStr">
        <is>
          <t>Senza potere</t>
        </is>
      </c>
      <c r="G58" s="19" t="inlineStr">
        <is>
          <t>—</t>
        </is>
      </c>
      <c r="H58" s="19" t="inlineStr">
        <is>
          <t>Nessun potere.</t>
        </is>
      </c>
      <c r="I58" s="19" t="n"/>
      <c r="J58" s="19" t="n"/>
      <c r="K58" s="19" t="n"/>
      <c r="L58" s="19" t="n"/>
      <c r="M58" s="17" t="n"/>
      <c r="N58" s="17" t="n"/>
      <c r="O58" s="17" t="n"/>
      <c r="P58" s="17" t="n"/>
    </row>
    <row r="59" ht="70.95" customHeight="1">
      <c r="A59" s="19" t="inlineStr">
        <is>
          <t>Dominari-2</t>
        </is>
      </c>
      <c r="B59" s="19" t="inlineStr">
        <is>
          <t>Dominari</t>
        </is>
      </c>
      <c r="C59" s="24" t="inlineStr">
        <is>
          <t>Praetor</t>
        </is>
      </c>
      <c r="D59" s="19" t="n">
        <v>82</v>
      </c>
      <c r="E59" s="19" t="inlineStr">
        <is>
          <t>Se prende la presa, la prossima carta +10.</t>
        </is>
      </c>
      <c r="F59" s="25" t="inlineStr">
        <is>
          <t>Programmato</t>
        </is>
      </c>
      <c r="G59" s="19" t="inlineStr">
        <is>
          <t>Dopo la presa</t>
        </is>
      </c>
      <c r="H59" s="19" t="inlineStr">
        <is>
          <t>Se vince la presa, la prossima carta che giochi in questa mano vale +10.</t>
        </is>
      </c>
      <c r="I59" s="19" t="inlineStr">
        <is>
          <t>Si attiva nel 35% delle giocate (2 giocatori: 67% · 4 giocatori: 45% · 8 giocatori: 24%). Vince il 49% delle prese in cui segue la fazione; le carte senza potere da 80–89 ne vincono il 63%.</t>
        </is>
      </c>
      <c r="J59" s="19" t="inlineStr">
        <is>
          <t>Più forte con pochi giocatori: si attiva nel 67% dei casi in 2, nel 24% in 8.</t>
        </is>
      </c>
      <c r="K59" s="19" t="inlineStr">
        <is>
          <t>Già programmato.</t>
        </is>
      </c>
      <c r="L59" s="19" t="inlineStr">
        <is>
          <t>Va bene così.</t>
        </is>
      </c>
      <c r="M59" s="17" t="n"/>
      <c r="N59" s="17" t="n"/>
      <c r="O59" s="17" t="n"/>
      <c r="P59" s="17" t="n"/>
    </row>
    <row r="60" ht="84" customHeight="1">
      <c r="A60" s="19" t="inlineStr">
        <is>
          <t>Dominari-3</t>
        </is>
      </c>
      <c r="B60" s="19" t="inlineStr">
        <is>
          <t>Dominari</t>
        </is>
      </c>
      <c r="C60" s="24" t="inlineStr">
        <is>
          <t>Ravager</t>
        </is>
      </c>
      <c r="D60" s="19" t="n">
        <v>74</v>
      </c>
      <c r="E60" s="19" t="inlineStr">
        <is>
          <t>Se prende la presa, un avversario perde 1 punto Contratto.</t>
        </is>
      </c>
      <c r="F60" s="25" t="inlineStr">
        <is>
          <t>Programmato</t>
        </is>
      </c>
      <c r="G60" s="19" t="inlineStr">
        <is>
          <t>Dopo la presa</t>
        </is>
      </c>
      <c r="H60" s="19" t="inlineStr">
        <is>
          <t>Se vince la presa, l'avversario con più punti nella mano perde 1 punto Contratto.</t>
        </is>
      </c>
      <c r="I60" s="19" t="inlineStr">
        <is>
          <t>Si attiva nel 24% delle giocate (2 giocatori: 64% · 4 giocatori: 35% · 8 giocatori: 11%). Vince il 34% delle prese in cui segue la fazione; le carte senza potere da 70–79 ne vincono il 43%. Effetto medio sui punti: -0,24 per giocata.</t>
        </is>
      </c>
      <c r="J60" s="19" t="inlineStr">
        <is>
          <t>Il bersaglio lo sceglie il gioco, come per Vesper Null. Più forte con pochi giocatori.</t>
        </is>
      </c>
      <c r="K60" s="19" t="inlineStr">
        <is>
          <t>Già programmato.</t>
        </is>
      </c>
      <c r="L60" s="19" t="inlineStr">
        <is>
          <t>Va bene così; oppure bersaglio scelto da chi gioca.</t>
        </is>
      </c>
      <c r="M60" s="17" t="n"/>
      <c r="N60" s="17" t="n"/>
      <c r="O60" s="17" t="n"/>
      <c r="P60" s="17" t="n"/>
    </row>
    <row r="61" ht="42" customHeight="1">
      <c r="A61" s="19" t="inlineStr">
        <is>
          <t>Dominari-4</t>
        </is>
      </c>
      <c r="B61" s="19" t="inlineStr">
        <is>
          <t>Dominari</t>
        </is>
      </c>
      <c r="C61" s="24" t="inlineStr">
        <is>
          <t>Crimson Crown</t>
        </is>
      </c>
      <c r="D61" s="19" t="n">
        <v>66</v>
      </c>
      <c r="E61" s="19" t="inlineStr">
        <is>
          <t>—</t>
        </is>
      </c>
      <c r="F61" s="25" t="inlineStr">
        <is>
          <t>Senza potere</t>
        </is>
      </c>
      <c r="G61" s="19" t="inlineStr">
        <is>
          <t>—</t>
        </is>
      </c>
      <c r="H61" s="19" t="inlineStr">
        <is>
          <t>Nessun potere.</t>
        </is>
      </c>
      <c r="I61" s="19" t="n"/>
      <c r="J61" s="19" t="n"/>
      <c r="K61" s="19" t="n"/>
      <c r="L61" s="19" t="n"/>
      <c r="M61" s="17" t="n"/>
      <c r="N61" s="17" t="n"/>
      <c r="O61" s="17" t="n"/>
      <c r="P61" s="17" t="n"/>
    </row>
    <row r="62" ht="42" customHeight="1">
      <c r="A62" s="19" t="inlineStr">
        <is>
          <t>Dominari-5</t>
        </is>
      </c>
      <c r="B62" s="19" t="inlineStr">
        <is>
          <t>Dominari</t>
        </is>
      </c>
      <c r="C62" s="24" t="inlineStr">
        <is>
          <t>Duelist</t>
        </is>
      </c>
      <c r="D62" s="19" t="n">
        <v>59</v>
      </c>
      <c r="E62" s="19" t="inlineStr">
        <is>
          <t>—</t>
        </is>
      </c>
      <c r="F62" s="25" t="inlineStr">
        <is>
          <t>Senza potere</t>
        </is>
      </c>
      <c r="G62" s="19" t="inlineStr">
        <is>
          <t>—</t>
        </is>
      </c>
      <c r="H62" s="19" t="inlineStr">
        <is>
          <t>Nessun potere.</t>
        </is>
      </c>
      <c r="I62" s="19" t="n"/>
      <c r="J62" s="19" t="n"/>
      <c r="K62" s="19" t="n"/>
      <c r="L62" s="19" t="n"/>
      <c r="M62" s="17" t="n"/>
      <c r="N62" s="17" t="n"/>
      <c r="O62" s="17" t="n"/>
      <c r="P62" s="17" t="n"/>
    </row>
    <row r="63" ht="42" customHeight="1">
      <c r="A63" s="19" t="inlineStr">
        <is>
          <t>Dominari-6</t>
        </is>
      </c>
      <c r="B63" s="19" t="inlineStr">
        <is>
          <t>Dominari</t>
        </is>
      </c>
      <c r="C63" s="24" t="inlineStr">
        <is>
          <t>Warhound</t>
        </is>
      </c>
      <c r="D63" s="19" t="n">
        <v>51</v>
      </c>
      <c r="E63" s="19" t="inlineStr">
        <is>
          <t>—</t>
        </is>
      </c>
      <c r="F63" s="25" t="inlineStr">
        <is>
          <t>Senza potere</t>
        </is>
      </c>
      <c r="G63" s="19" t="inlineStr">
        <is>
          <t>—</t>
        </is>
      </c>
      <c r="H63" s="19" t="inlineStr">
        <is>
          <t>Nessun potere.</t>
        </is>
      </c>
      <c r="I63" s="19" t="n"/>
      <c r="J63" s="19" t="n"/>
      <c r="K63" s="19" t="n"/>
      <c r="L63" s="19" t="n"/>
      <c r="M63" s="17" t="n"/>
      <c r="N63" s="17" t="n"/>
      <c r="O63" s="17" t="n"/>
      <c r="P63" s="17" t="n"/>
    </row>
    <row r="64" ht="45" customHeight="1">
      <c r="A64" s="19" t="inlineStr">
        <is>
          <t>Dominari-7</t>
        </is>
      </c>
      <c r="B64" s="19" t="inlineStr">
        <is>
          <t>Dominari</t>
        </is>
      </c>
      <c r="C64" s="24" t="inlineStr">
        <is>
          <t>Usurper</t>
        </is>
      </c>
      <c r="D64" s="19" t="n">
        <v>43</v>
      </c>
      <c r="E64" s="19" t="inlineStr"/>
      <c r="F64" s="25" t="inlineStr">
        <is>
          <t>Potere tolto</t>
        </is>
      </c>
      <c r="G64" s="19" t="inlineStr">
        <is>
          <t>—</t>
        </is>
      </c>
      <c r="H64" s="19" t="inlineStr">
        <is>
          <t>Nessun potere: tolto su tua decisione (versione 0.18.0). La carta resta, senza testo.</t>
        </is>
      </c>
      <c r="I64" s="19" t="n"/>
      <c r="J64" s="19" t="inlineStr">
        <is>
          <t>'Bonus' e 'carte molto alte' non sono definiti.</t>
        </is>
      </c>
      <c r="K64" s="19" t="inlineStr">
        <is>
          <t>—</t>
        </is>
      </c>
      <c r="L64" s="19" t="inlineStr">
        <is>
          <t>Se nella presa c'è una carta avversaria di valore 85 o più, Usurper vale +30 (73).</t>
        </is>
      </c>
      <c r="M64" s="17" t="inlineStr">
        <is>
          <t>Togli il potere</t>
        </is>
      </c>
      <c r="N64" s="17" t="n"/>
      <c r="O64" s="17" t="n"/>
      <c r="P64" s="17" t="n"/>
    </row>
    <row r="65" ht="70.95" customHeight="1">
      <c r="A65" s="19" t="inlineStr">
        <is>
          <t>Dominari-8</t>
        </is>
      </c>
      <c r="B65" s="19" t="inlineStr">
        <is>
          <t>Dominari</t>
        </is>
      </c>
      <c r="C65" s="24" t="inlineStr">
        <is>
          <t>Bloodmark</t>
        </is>
      </c>
      <c r="D65" s="19" t="n">
        <v>35</v>
      </c>
      <c r="E65" s="19" t="inlineStr">
        <is>
          <t>Se perde contro 75+, prossima carta +15.</t>
        </is>
      </c>
      <c r="F65" s="25" t="inlineStr">
        <is>
          <t>Programmato</t>
        </is>
      </c>
      <c r="G65" s="19" t="inlineStr">
        <is>
          <t>Dopo la presa</t>
        </is>
      </c>
      <c r="H65" s="19" t="inlineStr">
        <is>
          <t>Se non vince e la carta vincente ha valore finale 75 o più, la tua prossima carta vale +15.</t>
        </is>
      </c>
      <c r="I65" s="19" t="inlineStr">
        <is>
          <t>Si attiva nel 53% delle giocate (2 giocatori: 15% · 4 giocatori: 40% · 8 giocatori: 68%). Vince il 9% delle prese in cui segue la fazione; le carte senza potere da 30–39 ne vincono il 10%.</t>
        </is>
      </c>
      <c r="J65" s="19" t="inlineStr">
        <is>
          <t>Nessun problema evidente; più frequente con tanti giocatori.</t>
        </is>
      </c>
      <c r="K65" s="19" t="inlineStr">
        <is>
          <t>Già programmato.</t>
        </is>
      </c>
      <c r="L65" s="19" t="inlineStr">
        <is>
          <t>Va bene così.</t>
        </is>
      </c>
      <c r="M65" s="17" t="n"/>
      <c r="N65" s="17" t="n"/>
      <c r="O65" s="17" t="n"/>
      <c r="P65" s="17" t="n"/>
    </row>
    <row r="66" ht="84" customHeight="1">
      <c r="A66" s="19" t="inlineStr">
        <is>
          <t>Dominari-9</t>
        </is>
      </c>
      <c r="B66" s="19" t="inlineStr">
        <is>
          <t>Dominari</t>
        </is>
      </c>
      <c r="C66" s="24" t="inlineStr">
        <is>
          <t>Challenger</t>
        </is>
      </c>
      <c r="D66" s="19" t="n">
        <v>28</v>
      </c>
      <c r="E66" s="19" t="inlineStr">
        <is>
          <t>Se affronta un 70+, diventa 68.</t>
        </is>
      </c>
      <c r="F66" s="25" t="inlineStr">
        <is>
          <t>Programmato</t>
        </is>
      </c>
      <c r="G66" s="19" t="inlineStr">
        <is>
          <t>Alla giocata</t>
        </is>
      </c>
      <c r="H66" s="19" t="inlineStr">
        <is>
          <t>Se tra le carte giocate PRIMA di lei in questa presa ce n'è una con valore stampato oltre 70 (cioè 71 o più), vale 68.</t>
        </is>
      </c>
      <c r="I66" s="19" t="inlineStr">
        <is>
          <t>Si attiva nel 39% delle giocate (2 giocatori: 12% · 4 giocatori: 30% · 8 giocatori: 49%). Vince il 8% delle prese in cui segue la fazione; le carte senza potere da 20–29 ne vincono il 7%.</t>
        </is>
      </c>
      <c r="J66" s="19" t="inlineStr">
        <is>
          <t>Si contraddice: diventa 68 proprio quando in tavola c'è già una carta più alta, che se segue la fazione vince comunque. Aiuta solo se la carta alta era fuori fazione. Il testo dice '70+', il gioco esclude il 70.</t>
        </is>
      </c>
      <c r="K66" s="19" t="inlineStr">
        <is>
          <t>Già programmato.</t>
        </is>
      </c>
      <c r="L66" s="19" t="inlineStr">
        <is>
          <t>Alla rivelazione: se nella presa c'è una carta avversaria di valore 70 o più (giocata prima o dopo), Challenger vale 85.</t>
        </is>
      </c>
      <c r="M66" s="17" t="n"/>
      <c r="N66" s="17" t="n"/>
      <c r="O66" s="17" t="n"/>
      <c r="P66" s="17" t="n"/>
    </row>
    <row r="67" ht="58.05" customHeight="1">
      <c r="A67" s="19" t="inlineStr">
        <is>
          <t>Dominari-10</t>
        </is>
      </c>
      <c r="B67" s="19" t="inlineStr">
        <is>
          <t>Dominari</t>
        </is>
      </c>
      <c r="C67" s="24" t="inlineStr">
        <is>
          <t>Fury</t>
        </is>
      </c>
      <c r="D67" s="19" t="n">
        <v>20</v>
      </c>
      <c r="E67" s="19" t="inlineStr">
        <is>
          <t>Può aumentare pagando punti.</t>
        </is>
      </c>
      <c r="F67" s="25" t="inlineStr">
        <is>
          <t>Programmato</t>
        </is>
      </c>
      <c r="G67" s="19" t="inlineStr">
        <is>
          <t>Alla giocata (scelta)</t>
        </is>
      </c>
      <c r="H67" s="19" t="inlineStr">
        <is>
          <t>Quando la giochi puoi pagare 2 punti Contratto: vale 75 (pulsante 'Paga 2 punti: vale 75'). La CPU paga solo se vincere la presa le rende più di quanto spende.</t>
        </is>
      </c>
      <c r="I67" s="19" t="n"/>
      <c r="J67" s="19" t="inlineStr">
        <is>
          <t>Oggi ha lo stesso testo di Ashen.</t>
        </is>
      </c>
      <c r="K67" s="19" t="inlineStr">
        <is>
          <t>Programmato nella versione 0.19.0.</t>
        </is>
      </c>
      <c r="L67" s="19" t="inlineStr">
        <is>
          <t>Quando la giochi puoi pagare 2 punti Contratto: vale 75.</t>
        </is>
      </c>
      <c r="M67" s="17" t="inlineStr">
        <is>
          <t>Usa la proposta</t>
        </is>
      </c>
      <c r="N67" s="17" t="n"/>
      <c r="O67" s="17" t="n"/>
      <c r="P67" s="17" t="n"/>
    </row>
    <row r="68" ht="84" customHeight="1">
      <c r="A68" s="19" t="inlineStr">
        <is>
          <t>Dominari-11</t>
        </is>
      </c>
      <c r="B68" s="19" t="inlineStr">
        <is>
          <t>Dominari</t>
        </is>
      </c>
      <c r="C68" s="24" t="inlineStr">
        <is>
          <t>Rebel</t>
        </is>
      </c>
      <c r="D68" s="19" t="n">
        <v>12</v>
      </c>
      <c r="E68" s="19" t="inlineStr">
        <is>
          <t>Punisce un vincitore 80+.</t>
        </is>
      </c>
      <c r="F68" s="25" t="inlineStr">
        <is>
          <t>Programmato</t>
        </is>
      </c>
      <c r="G68" s="19" t="inlineStr">
        <is>
          <t>Dopo la presa</t>
        </is>
      </c>
      <c r="H68" s="19" t="inlineStr">
        <is>
          <t>Se non vince e la carta vincente ha valore finale 80 o più, chi ha vinto perde 1 punto Contratto.</t>
        </is>
      </c>
      <c r="I68" s="19" t="inlineStr">
        <is>
          <t>Si attiva nel 44% delle giocate (2 giocatori: 10% · 4 giocatori: 30% · 8 giocatori: 57%). Vince il 4% delle prese in cui segue la fazione; le carte senza potere da 10–19 ne vincono il 6%. Effetto medio sui punti: -0,44 per giocata.</t>
        </is>
      </c>
      <c r="J68" s="19" t="inlineStr">
        <is>
          <t>Forte sui punti (in media −0,44 a giocata) e molto più frequente con tanti giocatori.</t>
        </is>
      </c>
      <c r="K68" s="19" t="inlineStr">
        <is>
          <t>Già programmato.</t>
        </is>
      </c>
      <c r="L68" s="19" t="inlineStr">
        <is>
          <t>Va bene così.</t>
        </is>
      </c>
      <c r="M68" s="17" t="n"/>
      <c r="N68" s="17" t="n"/>
      <c r="O68" s="17" t="n"/>
      <c r="P68" s="17" t="n"/>
    </row>
    <row r="69" ht="70.95" customHeight="1">
      <c r="A69" s="19" t="inlineStr">
        <is>
          <t>Dominari-12</t>
        </is>
      </c>
      <c r="B69" s="19" t="inlineStr">
        <is>
          <t>Dominari</t>
        </is>
      </c>
      <c r="C69" s="24" t="inlineStr">
        <is>
          <t>Ascendant</t>
        </is>
      </c>
      <c r="D69" s="19" t="n">
        <v>4</v>
      </c>
      <c r="E69" s="19" t="inlineStr">
        <is>
          <t>Dopo due prese perse può diventare 74.</t>
        </is>
      </c>
      <c r="F69" s="25" t="inlineStr">
        <is>
          <t>Programmato</t>
        </is>
      </c>
      <c r="G69" s="19" t="inlineStr">
        <is>
          <t>Alla giocata</t>
        </is>
      </c>
      <c r="H69" s="19" t="inlineStr">
        <is>
          <t>Se hai perso le ultime due prese in cui hai giocato, vale 74 invece di 4. È automatico: non lo scegli tu.</t>
        </is>
      </c>
      <c r="I69" s="19" t="inlineStr">
        <is>
          <t>Si attiva nel 54% delle giocate (2 giocatori: 26% · 4 giocatori: 47% · 8 giocatori: 61%). Vince il 23% delle prese in cui segue la fazione; le carte senza potere da 0–9 ne vincono il 3%.</t>
        </is>
      </c>
      <c r="J69" s="19" t="inlineStr">
        <is>
          <t>Molto forte: vince il 23% delle prese contro il 3% delle carte simili. Il testo dice 'può diventare' (come una scelta), il gioco lo applica sempre.</t>
        </is>
      </c>
      <c r="K69" s="19" t="inlineStr">
        <is>
          <t>Già programmato.</t>
        </is>
      </c>
      <c r="L69" s="19" t="inlineStr">
        <is>
          <t>Va bene così (automatico).</t>
        </is>
      </c>
      <c r="M69" s="17" t="n"/>
      <c r="N69" s="17" t="n"/>
      <c r="O69" s="17" t="n"/>
      <c r="P69" s="17" t="n"/>
    </row>
    <row r="70" ht="42" customHeight="1">
      <c r="A70" s="19" t="inlineStr">
        <is>
          <t>Concordia-0</t>
        </is>
      </c>
      <c r="B70" s="19" t="inlineStr">
        <is>
          <t>Concordia</t>
        </is>
      </c>
      <c r="C70" s="24" t="inlineStr">
        <is>
          <t>Equilibrium</t>
        </is>
      </c>
      <c r="D70" s="19" t="n">
        <v>96</v>
      </c>
      <c r="E70" s="19" t="inlineStr">
        <is>
          <t>—</t>
        </is>
      </c>
      <c r="F70" s="25" t="inlineStr">
        <is>
          <t>Senza potere</t>
        </is>
      </c>
      <c r="G70" s="19" t="inlineStr">
        <is>
          <t>—</t>
        </is>
      </c>
      <c r="H70" s="19" t="inlineStr">
        <is>
          <t>Nessun potere.</t>
        </is>
      </c>
      <c r="I70" s="19" t="n"/>
      <c r="J70" s="19" t="n"/>
      <c r="K70" s="19" t="n"/>
      <c r="L70" s="19" t="n"/>
      <c r="M70" s="17" t="n"/>
      <c r="N70" s="17" t="n"/>
      <c r="O70" s="17" t="n"/>
      <c r="P70" s="17" t="n"/>
    </row>
    <row r="71" ht="42" customHeight="1">
      <c r="A71" s="19" t="inlineStr">
        <is>
          <t>Concordia-1</t>
        </is>
      </c>
      <c r="B71" s="19" t="inlineStr">
        <is>
          <t>Concordia</t>
        </is>
      </c>
      <c r="C71" s="24" t="inlineStr">
        <is>
          <t>Harmonia</t>
        </is>
      </c>
      <c r="D71" s="19" t="n">
        <v>87</v>
      </c>
      <c r="E71" s="19" t="inlineStr">
        <is>
          <t>—</t>
        </is>
      </c>
      <c r="F71" s="25" t="inlineStr">
        <is>
          <t>Senza potere</t>
        </is>
      </c>
      <c r="G71" s="19" t="inlineStr">
        <is>
          <t>—</t>
        </is>
      </c>
      <c r="H71" s="19" t="inlineStr">
        <is>
          <t>Nessun potere.</t>
        </is>
      </c>
      <c r="I71" s="19" t="n"/>
      <c r="J71" s="19" t="n"/>
      <c r="K71" s="19" t="n"/>
      <c r="L71" s="19" t="n"/>
      <c r="M71" s="17" t="n"/>
      <c r="N71" s="17" t="n"/>
      <c r="O71" s="17" t="n"/>
      <c r="P71" s="17" t="n"/>
    </row>
    <row r="72" ht="42" customHeight="1">
      <c r="A72" s="19" t="inlineStr">
        <is>
          <t>Concordia-2</t>
        </is>
      </c>
      <c r="B72" s="19" t="inlineStr">
        <is>
          <t>Concordia</t>
        </is>
      </c>
      <c r="C72" s="24" t="inlineStr">
        <is>
          <t>Mediator</t>
        </is>
      </c>
      <c r="D72" s="19" t="n">
        <v>79</v>
      </c>
      <c r="E72" s="19" t="inlineStr">
        <is>
          <t>—</t>
        </is>
      </c>
      <c r="F72" s="25" t="inlineStr">
        <is>
          <t>Senza potere</t>
        </is>
      </c>
      <c r="G72" s="19" t="inlineStr">
        <is>
          <t>—</t>
        </is>
      </c>
      <c r="H72" s="19" t="inlineStr">
        <is>
          <t>Nessun potere.</t>
        </is>
      </c>
      <c r="I72" s="19" t="n"/>
      <c r="J72" s="19" t="n"/>
      <c r="K72" s="19" t="n"/>
      <c r="L72" s="19" t="n"/>
      <c r="M72" s="17" t="n"/>
      <c r="N72" s="17" t="n"/>
      <c r="O72" s="17" t="n"/>
      <c r="P72" s="17" t="n"/>
    </row>
    <row r="73" ht="45" customHeight="1">
      <c r="A73" s="19" t="inlineStr">
        <is>
          <t>Concordia-3</t>
        </is>
      </c>
      <c r="B73" s="19" t="inlineStr">
        <is>
          <t>Concordia</t>
        </is>
      </c>
      <c r="C73" s="24" t="inlineStr">
        <is>
          <t>Balancer</t>
        </is>
      </c>
      <c r="D73" s="19" t="n">
        <v>71</v>
      </c>
      <c r="E73" s="19" t="inlineStr">
        <is>
          <t>Se sei unico ultimo in classifica, +15.</t>
        </is>
      </c>
      <c r="F73" s="25" t="inlineStr">
        <is>
          <t>Programmato</t>
        </is>
      </c>
      <c r="G73" s="19" t="inlineStr">
        <is>
          <t>Alla giocata</t>
        </is>
      </c>
      <c r="H73" s="19" t="inlineStr">
        <is>
          <t>+15 (vale 86) se quando la giochi sei l'unico ultimo nei punti della mano in corso.</t>
        </is>
      </c>
      <c r="I73" s="19" t="n"/>
      <c r="J73" s="19" t="inlineStr">
        <is>
          <t>'Classifica': quella della mano o quella della serie?</t>
        </is>
      </c>
      <c r="K73" s="19" t="inlineStr">
        <is>
          <t>Programmato nella versione 0.18.0.</t>
        </is>
      </c>
      <c r="L73" s="19" t="inlineStr">
        <is>
          <t>Se sei l'unico ultimo nei punti della mano in corso, vale 86.</t>
        </is>
      </c>
      <c r="M73" s="17" t="inlineStr">
        <is>
          <t>Usa la proposta</t>
        </is>
      </c>
      <c r="N73" s="17" t="n"/>
      <c r="O73" s="17" t="n"/>
      <c r="P73" s="17" t="n"/>
    </row>
    <row r="74" ht="42" customHeight="1">
      <c r="A74" s="19" t="inlineStr">
        <is>
          <t>Concordia-4</t>
        </is>
      </c>
      <c r="B74" s="19" t="inlineStr">
        <is>
          <t>Concordia</t>
        </is>
      </c>
      <c r="C74" s="24" t="inlineStr">
        <is>
          <t>Concord</t>
        </is>
      </c>
      <c r="D74" s="19" t="n">
        <v>63</v>
      </c>
      <c r="E74" s="19" t="inlineStr">
        <is>
          <t>—</t>
        </is>
      </c>
      <c r="F74" s="25" t="inlineStr">
        <is>
          <t>Senza potere</t>
        </is>
      </c>
      <c r="G74" s="19" t="inlineStr">
        <is>
          <t>—</t>
        </is>
      </c>
      <c r="H74" s="19" t="inlineStr">
        <is>
          <t>Nessun potere.</t>
        </is>
      </c>
      <c r="I74" s="19" t="n"/>
      <c r="J74" s="19" t="n"/>
      <c r="K74" s="19" t="n"/>
      <c r="L74" s="19" t="n"/>
      <c r="M74" s="17" t="n"/>
      <c r="N74" s="17" t="n"/>
      <c r="O74" s="17" t="n"/>
      <c r="P74" s="17" t="n"/>
    </row>
    <row r="75" ht="42" customHeight="1">
      <c r="A75" s="19" t="inlineStr">
        <is>
          <t>Concordia-5</t>
        </is>
      </c>
      <c r="B75" s="19" t="inlineStr">
        <is>
          <t>Concordia</t>
        </is>
      </c>
      <c r="C75" s="24" t="inlineStr">
        <is>
          <t>Bridge</t>
        </is>
      </c>
      <c r="D75" s="19" t="n">
        <v>55</v>
      </c>
      <c r="E75" s="19" t="inlineStr">
        <is>
          <t>—</t>
        </is>
      </c>
      <c r="F75" s="25" t="inlineStr">
        <is>
          <t>Senza potere</t>
        </is>
      </c>
      <c r="G75" s="19" t="inlineStr">
        <is>
          <t>—</t>
        </is>
      </c>
      <c r="H75" s="19" t="inlineStr">
        <is>
          <t>Nessun potere.</t>
        </is>
      </c>
      <c r="I75" s="19" t="n"/>
      <c r="J75" s="19" t="n"/>
      <c r="K75" s="19" t="n"/>
      <c r="L75" s="19" t="n"/>
      <c r="M75" s="17" t="n"/>
      <c r="N75" s="17" t="n"/>
      <c r="O75" s="17" t="n"/>
      <c r="P75" s="17" t="n"/>
    </row>
    <row r="76" ht="45" customHeight="1">
      <c r="A76" s="19" t="inlineStr">
        <is>
          <t>Concordia-6</t>
        </is>
      </c>
      <c r="B76" s="19" t="inlineStr">
        <is>
          <t>Concordia</t>
        </is>
      </c>
      <c r="C76" s="24" t="inlineStr">
        <is>
          <t>Evenhand</t>
        </is>
      </c>
      <c r="D76" s="19" t="n">
        <v>47</v>
      </c>
      <c r="E76" s="19" t="inlineStr">
        <is>
          <t>Se sei a pari merito ultimo, +15.</t>
        </is>
      </c>
      <c r="F76" s="25" t="inlineStr">
        <is>
          <t>Programmato</t>
        </is>
      </c>
      <c r="G76" s="19" t="inlineStr">
        <is>
          <t>Alla giocata</t>
        </is>
      </c>
      <c r="H76" s="19" t="inlineStr">
        <is>
          <t>+15 (vale 62) se quando la giochi sei ultimo nei punti della mano in corso a pari merito con almeno un altro giocatore. A inizio mano, con tutti a 0, vale sempre.</t>
        </is>
      </c>
      <c r="I76" s="19" t="n"/>
      <c r="J76" s="19" t="inlineStr">
        <is>
          <t>'Classifica': quella della mano o quella della serie?</t>
        </is>
      </c>
      <c r="K76" s="19" t="inlineStr">
        <is>
          <t>Programmato nella versione 0.18.0.</t>
        </is>
      </c>
      <c r="L76" s="19" t="inlineStr">
        <is>
          <t>Se sei ultimo a pari merito con almeno un altro giocatore, vale 62.</t>
        </is>
      </c>
      <c r="M76" s="17" t="inlineStr">
        <is>
          <t>Usa la proposta</t>
        </is>
      </c>
      <c r="N76" s="17" t="n"/>
      <c r="O76" s="17" t="n"/>
      <c r="P76" s="17" t="n"/>
    </row>
    <row r="77" ht="45" customHeight="1">
      <c r="A77" s="19" t="inlineStr">
        <is>
          <t>Concordia-7</t>
        </is>
      </c>
      <c r="B77" s="19" t="inlineStr">
        <is>
          <t>Concordia</t>
        </is>
      </c>
      <c r="C77" s="24" t="inlineStr">
        <is>
          <t>Symmetra</t>
        </is>
      </c>
      <c r="D77" s="19" t="n">
        <v>39</v>
      </c>
      <c r="E77" s="19" t="inlineStr">
        <is>
          <t>Se il range è 40+, diventa 69.</t>
        </is>
      </c>
      <c r="F77" s="25" t="inlineStr">
        <is>
          <t>Programmato</t>
        </is>
      </c>
      <c r="G77" s="19" t="inlineStr">
        <is>
          <t>Alla rivelazione</t>
        </is>
      </c>
      <c r="H77" s="19" t="inlineStr">
        <is>
          <t>Vale 69 se tra il valore finale più alto e il più basso della presa ci sono almeno 40 punti (guardando i valori prima degli altri poteri della rivelazione).</t>
        </is>
      </c>
      <c r="I77" s="19" t="n"/>
      <c r="J77" s="19" t="inlineStr">
        <is>
          <t>'Range' va definito.</t>
        </is>
      </c>
      <c r="K77" s="19" t="inlineStr">
        <is>
          <t>Programmato nella versione 0.18.0.</t>
        </is>
      </c>
      <c r="L77" s="19" t="inlineStr">
        <is>
          <t>Se tra il valore finale più alto e il più basso della presa ci sono almeno 40 punti, vale 69 (l'opposto di Equalis).</t>
        </is>
      </c>
      <c r="M77" s="17" t="inlineStr">
        <is>
          <t>Usa la proposta</t>
        </is>
      </c>
      <c r="N77" s="17" t="n"/>
      <c r="O77" s="17" t="n"/>
      <c r="P77" s="17" t="n"/>
    </row>
    <row r="78" ht="42" customHeight="1">
      <c r="A78" s="19" t="inlineStr">
        <is>
          <t>Concordia-8</t>
        </is>
      </c>
      <c r="B78" s="19" t="inlineStr">
        <is>
          <t>Concordia</t>
        </is>
      </c>
      <c r="C78" s="24" t="inlineStr">
        <is>
          <t>Kin</t>
        </is>
      </c>
      <c r="D78" s="19" t="n">
        <v>31</v>
      </c>
      <c r="E78" s="19" t="inlineStr">
        <is>
          <t>—</t>
        </is>
      </c>
      <c r="F78" s="25" t="inlineStr">
        <is>
          <t>Senza potere</t>
        </is>
      </c>
      <c r="G78" s="19" t="inlineStr">
        <is>
          <t>—</t>
        </is>
      </c>
      <c r="H78" s="19" t="inlineStr">
        <is>
          <t>Nessun potere.</t>
        </is>
      </c>
      <c r="I78" s="19" t="n"/>
      <c r="J78" s="19" t="n"/>
      <c r="K78" s="19" t="n"/>
      <c r="L78" s="19" t="n"/>
      <c r="M78" s="17" t="n"/>
      <c r="N78" s="17" t="n"/>
      <c r="O78" s="17" t="n"/>
      <c r="P78" s="17" t="n"/>
    </row>
    <row r="79" ht="42" customHeight="1">
      <c r="A79" s="19" t="inlineStr">
        <is>
          <t>Concordia-9</t>
        </is>
      </c>
      <c r="B79" s="19" t="inlineStr">
        <is>
          <t>Concordia</t>
        </is>
      </c>
      <c r="C79" s="24" t="inlineStr">
        <is>
          <t>Medius</t>
        </is>
      </c>
      <c r="D79" s="19" t="n">
        <v>23</v>
      </c>
      <c r="E79" s="19" t="inlineStr">
        <is>
          <t>—</t>
        </is>
      </c>
      <c r="F79" s="25" t="inlineStr">
        <is>
          <t>Senza potere</t>
        </is>
      </c>
      <c r="G79" s="19" t="inlineStr">
        <is>
          <t>—</t>
        </is>
      </c>
      <c r="H79" s="19" t="inlineStr">
        <is>
          <t>Nessun potere.</t>
        </is>
      </c>
      <c r="I79" s="19" t="n"/>
      <c r="J79" s="19" t="n"/>
      <c r="K79" s="19" t="n"/>
      <c r="L79" s="19" t="n"/>
      <c r="M79" s="17" t="n"/>
      <c r="N79" s="17" t="n"/>
      <c r="O79" s="17" t="n"/>
      <c r="P79" s="17" t="n"/>
    </row>
    <row r="80" ht="45" customHeight="1">
      <c r="A80" s="14" t="inlineStr">
        <is>
          <t>Concordia-10</t>
        </is>
      </c>
      <c r="B80" s="14" t="inlineStr">
        <is>
          <t>Concordia</t>
        </is>
      </c>
      <c r="C80" s="15" t="inlineStr">
        <is>
          <t>Pax</t>
        </is>
      </c>
      <c r="D80" s="14" t="n">
        <v>15</v>
      </c>
      <c r="E80" s="14" t="inlineStr">
        <is>
          <t>Protegge dalle perdite di punti carta.</t>
        </is>
      </c>
      <c r="F80" s="18" t="inlineStr">
        <is>
          <t>Non programmato</t>
        </is>
      </c>
      <c r="G80" s="14" t="inlineStr">
        <is>
          <t>—</t>
        </is>
      </c>
      <c r="H80" s="14" t="inlineStr">
        <is>
          <t>Niente: il testo si vede sulla carta, ma il gioco non lo applica (la carta mostra 'potere non ancora attivo').</t>
        </is>
      </c>
      <c r="I80" s="14" t="n"/>
      <c r="J80" s="14" t="inlineStr">
        <is>
          <t>'Perdite di punti carta' non è definito.</t>
        </is>
      </c>
      <c r="K80" s="14" t="inlineStr">
        <is>
          <t>D · Protezione. Definire cosa vuol dire 'protetta' (foglio 'Decisioni generali', punto 3).</t>
        </is>
      </c>
      <c r="L80" s="14" t="inlineStr">
        <is>
          <t>Nella presa in cui la giochi, i poteri avversari non possono toglierti punti.</t>
        </is>
      </c>
      <c r="M80" s="17" t="n"/>
      <c r="N80" s="17" t="n"/>
      <c r="O80" s="17" t="n"/>
      <c r="P80" s="17" t="n"/>
    </row>
    <row r="81" ht="70.95" customHeight="1">
      <c r="A81" s="19" t="inlineStr">
        <is>
          <t>Concordia-11</t>
        </is>
      </c>
      <c r="B81" s="19" t="inlineStr">
        <is>
          <t>Concordia</t>
        </is>
      </c>
      <c r="C81" s="24" t="inlineStr">
        <is>
          <t>Equalis</t>
        </is>
      </c>
      <c r="D81" s="19" t="n">
        <v>7</v>
      </c>
      <c r="E81" s="19" t="inlineStr">
        <is>
          <t>Se il range è ≤20, diventa 77.</t>
        </is>
      </c>
      <c r="F81" s="25" t="inlineStr">
        <is>
          <t>Programmato</t>
        </is>
      </c>
      <c r="G81" s="19" t="inlineStr">
        <is>
          <t>Alla rivelazione</t>
        </is>
      </c>
      <c r="H81" s="19" t="inlineStr">
        <is>
          <t>Se la differenza tra il valore finale più alto e il più basso della presa è 20 o meno, Equalis vale 77.</t>
        </is>
      </c>
      <c r="I81" s="19" t="inlineStr">
        <is>
          <t>Si attiva nel 6% delle giocate (2 giocatori: 51% · 4 giocatori: 6% · 8 giocatori: 1%). Vince il 9% delle prese in cui segue la fazione; le carte senza potere da 0–9 ne vincono il 3%.</t>
        </is>
      </c>
      <c r="J81" s="19" t="inlineStr">
        <is>
          <t>Funziona solo in 2 giocatori (51% delle volte). Con 4 giocatori scende al 6%, con 8 all'1%.</t>
        </is>
      </c>
      <c r="K81" s="19" t="inlineStr">
        <is>
          <t>Già programmato.</t>
        </is>
      </c>
      <c r="L81" s="19" t="inlineStr">
        <is>
          <t>Soglia che cresce con i giocatori: differenza ≤ 20 × (giocatori − 1). Oppure una soglia fissa ≤ 40.</t>
        </is>
      </c>
      <c r="M81" s="17" t="n"/>
      <c r="N81" s="17" t="n"/>
      <c r="O81" s="17" t="n"/>
      <c r="P81" s="17" t="n"/>
    </row>
    <row r="82" ht="42" customHeight="1">
      <c r="A82" s="19" t="inlineStr">
        <is>
          <t>Concordia-12</t>
        </is>
      </c>
      <c r="B82" s="19" t="inlineStr">
        <is>
          <t>Concordia</t>
        </is>
      </c>
      <c r="C82" s="24" t="inlineStr">
        <is>
          <t>Union</t>
        </is>
      </c>
      <c r="D82" s="19" t="n">
        <v>2</v>
      </c>
      <c r="E82" s="19" t="inlineStr">
        <is>
          <t>—</t>
        </is>
      </c>
      <c r="F82" s="25" t="inlineStr">
        <is>
          <t>Senza potere</t>
        </is>
      </c>
      <c r="G82" s="19" t="inlineStr">
        <is>
          <t>—</t>
        </is>
      </c>
      <c r="H82" s="19" t="inlineStr">
        <is>
          <t>Nessun potere.</t>
        </is>
      </c>
      <c r="I82" s="19" t="n"/>
      <c r="J82" s="19" t="n"/>
      <c r="K82" s="19" t="n"/>
      <c r="L82" s="19" t="n"/>
      <c r="M82" s="17" t="n"/>
      <c r="N82" s="17" t="n"/>
      <c r="O82" s="17" t="n"/>
      <c r="P82" s="17" t="n"/>
    </row>
    <row r="83" ht="42" customHeight="1">
      <c r="A83" s="19" t="inlineStr">
        <is>
          <t>Axiomata-0</t>
        </is>
      </c>
      <c r="B83" s="19" t="inlineStr">
        <is>
          <t>Axiomata</t>
        </is>
      </c>
      <c r="C83" s="24" t="inlineStr">
        <is>
          <t>Lex Prime</t>
        </is>
      </c>
      <c r="D83" s="19" t="n">
        <v>97</v>
      </c>
      <c r="E83" s="19" t="inlineStr">
        <is>
          <t>—</t>
        </is>
      </c>
      <c r="F83" s="25" t="inlineStr">
        <is>
          <t>Senza potere</t>
        </is>
      </c>
      <c r="G83" s="19" t="inlineStr">
        <is>
          <t>—</t>
        </is>
      </c>
      <c r="H83" s="19" t="inlineStr">
        <is>
          <t>Nessun potere.</t>
        </is>
      </c>
      <c r="I83" s="19" t="n"/>
      <c r="J83" s="19" t="n"/>
      <c r="K83" s="19" t="n"/>
      <c r="L83" s="19" t="n"/>
      <c r="M83" s="17" t="n"/>
      <c r="N83" s="17" t="n"/>
      <c r="O83" s="17" t="n"/>
      <c r="P83" s="17" t="n"/>
    </row>
    <row r="84" ht="42" customHeight="1">
      <c r="A84" s="19" t="inlineStr">
        <is>
          <t>Axiomata-1</t>
        </is>
      </c>
      <c r="B84" s="19" t="inlineStr">
        <is>
          <t>Axiomata</t>
        </is>
      </c>
      <c r="C84" s="24" t="inlineStr">
        <is>
          <t>Canon</t>
        </is>
      </c>
      <c r="D84" s="19" t="n">
        <v>88</v>
      </c>
      <c r="E84" s="19" t="inlineStr">
        <is>
          <t>—</t>
        </is>
      </c>
      <c r="F84" s="25" t="inlineStr">
        <is>
          <t>Senza potere</t>
        </is>
      </c>
      <c r="G84" s="19" t="inlineStr">
        <is>
          <t>—</t>
        </is>
      </c>
      <c r="H84" s="19" t="inlineStr">
        <is>
          <t>Nessun potere.</t>
        </is>
      </c>
      <c r="I84" s="19" t="n"/>
      <c r="J84" s="19" t="n"/>
      <c r="K84" s="19" t="n"/>
      <c r="L84" s="19" t="n"/>
      <c r="M84" s="17" t="n"/>
      <c r="N84" s="17" t="n"/>
      <c r="O84" s="17" t="n"/>
      <c r="P84" s="17" t="n"/>
    </row>
    <row r="85" ht="70.95" customHeight="1">
      <c r="A85" s="19" t="inlineStr">
        <is>
          <t>Axiomata-2</t>
        </is>
      </c>
      <c r="B85" s="19" t="inlineStr">
        <is>
          <t>Axiomata</t>
        </is>
      </c>
      <c r="C85" s="24" t="inlineStr">
        <is>
          <t>Veritas</t>
        </is>
      </c>
      <c r="D85" s="19" t="n">
        <v>80</v>
      </c>
      <c r="E85" s="19" t="inlineStr">
        <is>
          <t>Il valore resta sempre 80.</t>
        </is>
      </c>
      <c r="F85" s="25" t="inlineStr">
        <is>
          <t>Programmato</t>
        </is>
      </c>
      <c r="G85" s="19" t="inlineStr">
        <is>
          <t>Alla giocata</t>
        </is>
      </c>
      <c r="H85" s="19" t="inlineStr">
        <is>
          <t>Vale sempre 80, anche se hai un bonus o un malus in sospeso (da Praetor, Bloodmark o Vesper Null). Se nella presa c'è Axiom resta comunque 80, il suo valore stampato.</t>
        </is>
      </c>
      <c r="I85" s="19" t="inlineStr">
        <is>
          <t>Si attiva nel 1% delle giocate (2 giocatori: 1% · 4 giocatori: 0% · 8 giocatori: 1%). Vince il 48% delle prese in cui segue la fazione; le carte senza potere da 80–89 ne vincono il 63%.</t>
        </is>
      </c>
      <c r="J85" s="19" t="inlineStr">
        <is>
          <t>Vale già 80 stampato: il potere cambia qualcosa solo nell'1% delle giocate. In pratica è un 80 normale.</t>
        </is>
      </c>
      <c r="K85" s="19" t="inlineStr">
        <is>
          <t>Già programmato.</t>
        </is>
      </c>
      <c r="L85" s="19" t="inlineStr">
        <is>
          <t>Se Veritas è nella presa, nessuna carta può valere più di 80: i valori sopra 80 scendono a 80.</t>
        </is>
      </c>
      <c r="M85" s="17" t="n"/>
      <c r="N85" s="17" t="n"/>
      <c r="O85" s="17" t="n"/>
      <c r="P85" s="17" t="n"/>
    </row>
    <row r="86" ht="42" customHeight="1">
      <c r="A86" s="19" t="inlineStr">
        <is>
          <t>Axiomata-3</t>
        </is>
      </c>
      <c r="B86" s="19" t="inlineStr">
        <is>
          <t>Axiomata</t>
        </is>
      </c>
      <c r="C86" s="24" t="inlineStr">
        <is>
          <t>Edict</t>
        </is>
      </c>
      <c r="D86" s="19" t="n">
        <v>72</v>
      </c>
      <c r="E86" s="19" t="inlineStr">
        <is>
          <t>—</t>
        </is>
      </c>
      <c r="F86" s="25" t="inlineStr">
        <is>
          <t>Senza potere</t>
        </is>
      </c>
      <c r="G86" s="19" t="inlineStr">
        <is>
          <t>—</t>
        </is>
      </c>
      <c r="H86" s="19" t="inlineStr">
        <is>
          <t>Nessun potere.</t>
        </is>
      </c>
      <c r="I86" s="19" t="n"/>
      <c r="J86" s="19" t="n"/>
      <c r="K86" s="19" t="n"/>
      <c r="L86" s="19" t="n"/>
      <c r="M86" s="17" t="n"/>
      <c r="N86" s="17" t="n"/>
      <c r="O86" s="17" t="n"/>
      <c r="P86" s="17" t="n"/>
    </row>
    <row r="87" ht="42" customHeight="1">
      <c r="A87" s="19" t="inlineStr">
        <is>
          <t>Axiomata-4</t>
        </is>
      </c>
      <c r="B87" s="19" t="inlineStr">
        <is>
          <t>Axiomata</t>
        </is>
      </c>
      <c r="C87" s="24" t="inlineStr">
        <is>
          <t>Constant</t>
        </is>
      </c>
      <c r="D87" s="19" t="n">
        <v>64</v>
      </c>
      <c r="E87" s="19" t="inlineStr">
        <is>
          <t>—</t>
        </is>
      </c>
      <c r="F87" s="25" t="inlineStr">
        <is>
          <t>Senza potere</t>
        </is>
      </c>
      <c r="G87" s="19" t="inlineStr">
        <is>
          <t>—</t>
        </is>
      </c>
      <c r="H87" s="19" t="inlineStr">
        <is>
          <t>Nessun potere.</t>
        </is>
      </c>
      <c r="I87" s="19" t="n"/>
      <c r="J87" s="19" t="n"/>
      <c r="K87" s="19" t="n"/>
      <c r="L87" s="19" t="n"/>
      <c r="M87" s="17" t="n"/>
      <c r="N87" s="17" t="n"/>
      <c r="O87" s="17" t="n"/>
      <c r="P87" s="17" t="n"/>
    </row>
    <row r="88" ht="97.05" customHeight="1">
      <c r="A88" s="19" t="inlineStr">
        <is>
          <t>Axiomata-5</t>
        </is>
      </c>
      <c r="B88" s="19" t="inlineStr">
        <is>
          <t>Axiomata</t>
        </is>
      </c>
      <c r="C88" s="24" t="inlineStr">
        <is>
          <t>Axiom</t>
        </is>
      </c>
      <c r="D88" s="19" t="n">
        <v>55</v>
      </c>
      <c r="E88" s="19" t="inlineStr">
        <is>
          <t>Annulla gli altri effetti nella presa.</t>
        </is>
      </c>
      <c r="F88" s="25" t="inlineStr">
        <is>
          <t>Programmato</t>
        </is>
      </c>
      <c r="G88" s="19" t="inlineStr">
        <is>
          <t>Alla rivelazione (prima di ogni altro potere)</t>
        </is>
      </c>
      <c r="H88" s="19" t="inlineStr">
        <is>
          <t>Quando tutte le carte sono sul tavolo, ogni carta della presa torna al suo valore stampato: annulla bonus e malus in sospeso e tutti i poteri che cambiano valore (Invariant, Veritas, Ascendant, Switch, Equalis, Wildcard, Measure…), anche quelli degli avversari. Non blocca i poteri 'dopo la presa' (punti e bonus futuri).</t>
        </is>
      </c>
      <c r="I88" s="19" t="inlineStr">
        <is>
          <t>Si attiva nel 69% delle giocate (2 giocatori: 27% · 4 giocatori: 53% · 8 giocatori: 82%). Vince il 24% delle prese in cui segue la fazione; le carte senza potere da 50–59 ne vincono il 20%.</t>
        </is>
      </c>
      <c r="J88" s="19" t="inlineStr">
        <is>
          <t>Più forte con tanti giocatori: si attiva nel 27% dei casi in 2, nell'82% in 8.</t>
        </is>
      </c>
      <c r="K88" s="19" t="inlineStr">
        <is>
          <t>Già programmato.</t>
        </is>
      </c>
      <c r="L88" s="19" t="inlineStr">
        <is>
          <t>Va bene così.</t>
        </is>
      </c>
      <c r="M88" s="17" t="n"/>
      <c r="N88" s="17" t="n"/>
      <c r="O88" s="17" t="n"/>
      <c r="P88" s="17" t="n"/>
    </row>
    <row r="89" ht="42" customHeight="1">
      <c r="A89" s="19" t="inlineStr">
        <is>
          <t>Axiomata-6</t>
        </is>
      </c>
      <c r="B89" s="19" t="inlineStr">
        <is>
          <t>Axiomata</t>
        </is>
      </c>
      <c r="C89" s="24" t="inlineStr">
        <is>
          <t>Clause</t>
        </is>
      </c>
      <c r="D89" s="19" t="n">
        <v>47</v>
      </c>
      <c r="E89" s="19" t="inlineStr">
        <is>
          <t>—</t>
        </is>
      </c>
      <c r="F89" s="25" t="inlineStr">
        <is>
          <t>Senza potere</t>
        </is>
      </c>
      <c r="G89" s="19" t="inlineStr">
        <is>
          <t>—</t>
        </is>
      </c>
      <c r="H89" s="19" t="inlineStr">
        <is>
          <t>Nessun potere.</t>
        </is>
      </c>
      <c r="I89" s="19" t="n"/>
      <c r="J89" s="19" t="n"/>
      <c r="K89" s="19" t="n"/>
      <c r="L89" s="19" t="n"/>
      <c r="M89" s="17" t="n"/>
      <c r="N89" s="17" t="n"/>
      <c r="O89" s="17" t="n"/>
      <c r="P89" s="17" t="n"/>
    </row>
    <row r="90" ht="70.95" customHeight="1">
      <c r="A90" s="19" t="inlineStr">
        <is>
          <t>Axiomata-7</t>
        </is>
      </c>
      <c r="B90" s="19" t="inlineStr">
        <is>
          <t>Axiomata</t>
        </is>
      </c>
      <c r="C90" s="24" t="inlineStr">
        <is>
          <t>Measure</t>
        </is>
      </c>
      <c r="D90" s="19" t="n">
        <v>39</v>
      </c>
      <c r="E90" s="19" t="inlineStr">
        <is>
          <t>Limita i valori tra 10 e 90.</t>
        </is>
      </c>
      <c r="F90" s="25" t="inlineStr">
        <is>
          <t>Programmato</t>
        </is>
      </c>
      <c r="G90" s="19" t="inlineStr">
        <is>
          <t>Alla rivelazione (dopo Switch, Equalis e Wildcard)</t>
        </is>
      </c>
      <c r="H90" s="19" t="inlineStr">
        <is>
          <t>Tutti i valori finali della presa vengono portati tra 10 e 90: sotto 10 diventano 10, sopra 90 diventano 90.</t>
        </is>
      </c>
      <c r="I90" s="19" t="inlineStr">
        <is>
          <t>Si attiva nel 51% delle giocate (2 giocatori: 20% · 4 giocatori: 47% · 8 giocatori: 60%). Vince il 9% delle prese in cui segue la fazione; le carte senza potere da 30–39 ne vincono il 10%.</t>
        </is>
      </c>
      <c r="J90" s="19" t="inlineStr">
        <is>
          <t>Effetto collaterale: le carte da 91 a 99 diventano 90 e a parità vince il valore stampato più basso. Con Measure in presa, quindi, un 90 batte un 99.</t>
        </is>
      </c>
      <c r="K90" s="19" t="inlineStr">
        <is>
          <t>Già programmato.</t>
        </is>
      </c>
      <c r="L90" s="19" t="inlineStr">
        <is>
          <t>Va bene così se l'effetto è voluto; altrimenti, nei pareggi creati da Measure vince il valore stampato più alto.</t>
        </is>
      </c>
      <c r="M90" s="17" t="n"/>
      <c r="N90" s="17" t="n"/>
      <c r="O90" s="17" t="n"/>
      <c r="P90" s="17" t="n"/>
    </row>
    <row r="91" ht="42" customHeight="1">
      <c r="A91" s="19" t="inlineStr">
        <is>
          <t>Axiomata-8</t>
        </is>
      </c>
      <c r="B91" s="19" t="inlineStr">
        <is>
          <t>Axiomata</t>
        </is>
      </c>
      <c r="C91" s="24" t="inlineStr">
        <is>
          <t>Notary</t>
        </is>
      </c>
      <c r="D91" s="19" t="n">
        <v>31</v>
      </c>
      <c r="E91" s="19" t="inlineStr">
        <is>
          <t>—</t>
        </is>
      </c>
      <c r="F91" s="25" t="inlineStr">
        <is>
          <t>Senza potere</t>
        </is>
      </c>
      <c r="G91" s="19" t="inlineStr">
        <is>
          <t>—</t>
        </is>
      </c>
      <c r="H91" s="19" t="inlineStr">
        <is>
          <t>Nessun potere.</t>
        </is>
      </c>
      <c r="I91" s="19" t="n"/>
      <c r="J91" s="19" t="n"/>
      <c r="K91" s="19" t="n"/>
      <c r="L91" s="19" t="n"/>
      <c r="M91" s="17" t="n"/>
      <c r="N91" s="17" t="n"/>
      <c r="O91" s="17" t="n"/>
      <c r="P91" s="17" t="n"/>
    </row>
    <row r="92" ht="42" customHeight="1">
      <c r="A92" s="19" t="inlineStr">
        <is>
          <t>Axiomata-9</t>
        </is>
      </c>
      <c r="B92" s="19" t="inlineStr">
        <is>
          <t>Axiomata</t>
        </is>
      </c>
      <c r="C92" s="24" t="inlineStr">
        <is>
          <t>Seal</t>
        </is>
      </c>
      <c r="D92" s="19" t="n">
        <v>23</v>
      </c>
      <c r="E92" s="19" t="inlineStr">
        <is>
          <t>—</t>
        </is>
      </c>
      <c r="F92" s="25" t="inlineStr">
        <is>
          <t>Senza potere</t>
        </is>
      </c>
      <c r="G92" s="19" t="inlineStr">
        <is>
          <t>—</t>
        </is>
      </c>
      <c r="H92" s="19" t="inlineStr">
        <is>
          <t>Nessun potere.</t>
        </is>
      </c>
      <c r="I92" s="19" t="n"/>
      <c r="J92" s="19" t="n"/>
      <c r="K92" s="19" t="n"/>
      <c r="L92" s="19" t="n"/>
      <c r="M92" s="17" t="n"/>
      <c r="N92" s="17" t="n"/>
      <c r="O92" s="17" t="n"/>
      <c r="P92" s="17" t="n"/>
    </row>
    <row r="93" ht="42" customHeight="1">
      <c r="A93" s="19" t="inlineStr">
        <is>
          <t>Axiomata-10</t>
        </is>
      </c>
      <c r="B93" s="19" t="inlineStr">
        <is>
          <t>Axiomata</t>
        </is>
      </c>
      <c r="C93" s="24" t="inlineStr">
        <is>
          <t>Proof</t>
        </is>
      </c>
      <c r="D93" s="19" t="n">
        <v>15</v>
      </c>
      <c r="E93" s="19" t="inlineStr">
        <is>
          <t>—</t>
        </is>
      </c>
      <c r="F93" s="25" t="inlineStr">
        <is>
          <t>Senza potere</t>
        </is>
      </c>
      <c r="G93" s="19" t="inlineStr">
        <is>
          <t>—</t>
        </is>
      </c>
      <c r="H93" s="19" t="inlineStr">
        <is>
          <t>Nessun potere.</t>
        </is>
      </c>
      <c r="I93" s="19" t="n"/>
      <c r="J93" s="19" t="n"/>
      <c r="K93" s="19" t="n"/>
      <c r="L93" s="19" t="n"/>
      <c r="M93" s="17" t="n"/>
      <c r="N93" s="17" t="n"/>
      <c r="O93" s="17" t="n"/>
      <c r="P93" s="17" t="n"/>
    </row>
    <row r="94" ht="70.95" customHeight="1">
      <c r="A94" s="19" t="inlineStr">
        <is>
          <t>Axiomata-11</t>
        </is>
      </c>
      <c r="B94" s="19" t="inlineStr">
        <is>
          <t>Axiomata</t>
        </is>
      </c>
      <c r="C94" s="24" t="inlineStr">
        <is>
          <t>Invariant</t>
        </is>
      </c>
      <c r="D94" s="19" t="n">
        <v>8</v>
      </c>
      <c r="E94" s="19" t="inlineStr">
        <is>
          <t>Per il confronto vale sempre 50.</t>
        </is>
      </c>
      <c r="F94" s="25" t="inlineStr">
        <is>
          <t>Programmato</t>
        </is>
      </c>
      <c r="G94" s="19" t="inlineStr">
        <is>
          <t>Alla giocata</t>
        </is>
      </c>
      <c r="H94" s="19" t="inlineStr">
        <is>
          <t>Vale 50 invece di 8, anche con un bonus o un malus in sospeso. Se nella presa c'è Axiom torna a 8.</t>
        </is>
      </c>
      <c r="I94" s="19" t="inlineStr">
        <is>
          <t>Si attiva nel 80% delle giocate (2 giocatori: 94% · 4 giocatori: 88% · 8 giocatori: 73%). Vince il 27% delle prese in cui segue la fazione; le carte senza potere da 0–9 ne vincono il 3%.</t>
        </is>
      </c>
      <c r="J94" s="19" t="inlineStr">
        <is>
          <t>Fortissimo: vince il 27% delle prese in cui segue la fazione, contro il 3% delle carte normali di valore simile. Forse è voluto: da valutare.</t>
        </is>
      </c>
      <c r="K94" s="19" t="inlineStr">
        <is>
          <t>Già programmato.</t>
        </is>
      </c>
      <c r="L94" s="19" t="inlineStr">
        <is>
          <t>Va bene così; se lo trovi troppo forte, 40 invece di 50.</t>
        </is>
      </c>
      <c r="M94" s="17" t="n"/>
      <c r="N94" s="17" t="n"/>
      <c r="O94" s="17" t="n"/>
      <c r="P94" s="17" t="n"/>
    </row>
    <row r="95" ht="42" customHeight="1">
      <c r="A95" s="19" t="inlineStr">
        <is>
          <t>Axiomata-12</t>
        </is>
      </c>
      <c r="B95" s="19" t="inlineStr">
        <is>
          <t>Axiomata</t>
        </is>
      </c>
      <c r="C95" s="24" t="inlineStr">
        <is>
          <t>Exception</t>
        </is>
      </c>
      <c r="D95" s="19" t="n">
        <v>1</v>
      </c>
      <c r="E95" s="19" t="inlineStr">
        <is>
          <t>—</t>
        </is>
      </c>
      <c r="F95" s="25" t="inlineStr">
        <is>
          <t>Senza potere</t>
        </is>
      </c>
      <c r="G95" s="19" t="inlineStr">
        <is>
          <t>—</t>
        </is>
      </c>
      <c r="H95" s="19" t="inlineStr">
        <is>
          <t>Nessun potere.</t>
        </is>
      </c>
      <c r="I95" s="19" t="n"/>
      <c r="J95" s="19" t="n"/>
      <c r="K95" s="19" t="n"/>
      <c r="L95" s="19" t="n"/>
      <c r="M95" s="17" t="n"/>
      <c r="N95" s="17" t="n"/>
      <c r="O95" s="17" t="n"/>
      <c r="P95" s="17" t="n"/>
    </row>
    <row r="96" ht="42" customHeight="1">
      <c r="A96" s="19" t="inlineStr">
        <is>
          <t>Conflux-0</t>
        </is>
      </c>
      <c r="B96" s="19" t="inlineStr">
        <is>
          <t>Conflux</t>
        </is>
      </c>
      <c r="C96" s="24" t="inlineStr">
        <is>
          <t>Flux Regent</t>
        </is>
      </c>
      <c r="D96" s="19" t="n">
        <v>97</v>
      </c>
      <c r="E96" s="19" t="inlineStr">
        <is>
          <t>—</t>
        </is>
      </c>
      <c r="F96" s="25" t="inlineStr">
        <is>
          <t>Senza potere</t>
        </is>
      </c>
      <c r="G96" s="19" t="inlineStr">
        <is>
          <t>—</t>
        </is>
      </c>
      <c r="H96" s="19" t="inlineStr">
        <is>
          <t>Nessun potere.</t>
        </is>
      </c>
      <c r="I96" s="19" t="n"/>
      <c r="J96" s="19" t="n"/>
      <c r="K96" s="19" t="n"/>
      <c r="L96" s="19" t="n"/>
      <c r="M96" s="17" t="n"/>
      <c r="N96" s="17" t="n"/>
      <c r="O96" s="17" t="n"/>
      <c r="P96" s="17" t="n"/>
    </row>
    <row r="97" ht="42" customHeight="1">
      <c r="A97" s="19" t="inlineStr">
        <is>
          <t>Conflux-1</t>
        </is>
      </c>
      <c r="B97" s="19" t="inlineStr">
        <is>
          <t>Conflux</t>
        </is>
      </c>
      <c r="C97" s="24" t="inlineStr">
        <is>
          <t>Mosaic</t>
        </is>
      </c>
      <c r="D97" s="19" t="n">
        <v>89</v>
      </c>
      <c r="E97" s="19" t="inlineStr">
        <is>
          <t>—</t>
        </is>
      </c>
      <c r="F97" s="25" t="inlineStr">
        <is>
          <t>Senza potere</t>
        </is>
      </c>
      <c r="G97" s="19" t="inlineStr">
        <is>
          <t>—</t>
        </is>
      </c>
      <c r="H97" s="19" t="inlineStr">
        <is>
          <t>Nessun potere.</t>
        </is>
      </c>
      <c r="I97" s="19" t="n"/>
      <c r="J97" s="19" t="n"/>
      <c r="K97" s="19" t="n"/>
      <c r="L97" s="19" t="n"/>
      <c r="M97" s="17" t="n"/>
      <c r="N97" s="17" t="n"/>
      <c r="O97" s="17" t="n"/>
      <c r="P97" s="17" t="n"/>
    </row>
    <row r="98" ht="58.05" customHeight="1">
      <c r="A98" s="14" t="inlineStr">
        <is>
          <t>Conflux-2</t>
        </is>
      </c>
      <c r="B98" s="14" t="inlineStr">
        <is>
          <t>Conflux</t>
        </is>
      </c>
      <c r="C98" s="15" t="inlineStr">
        <is>
          <t>Janus</t>
        </is>
      </c>
      <c r="D98" s="14" t="n">
        <v>83</v>
      </c>
      <c r="E98" s="14" t="inlineStr">
        <is>
          <t>Può valere 83 oppure 17.</t>
        </is>
      </c>
      <c r="F98" s="18" t="inlineStr">
        <is>
          <t>Non programmato</t>
        </is>
      </c>
      <c r="G98" s="14" t="inlineStr">
        <is>
          <t>—</t>
        </is>
      </c>
      <c r="H98" s="14" t="inlineStr">
        <is>
          <t>Niente: il testo si vede sulla carta, ma il gioco non lo applica (la carta mostra 'potere non ancora attivo').</t>
        </is>
      </c>
      <c r="I98" s="14" t="n"/>
      <c r="J98" s="14" t="inlineStr">
        <is>
          <t>Non dice quando si sceglie.</t>
        </is>
      </c>
      <c r="K98" s="14" t="inlineStr">
        <is>
          <t>B · Scelta del giocatore. Una finestra in cui il giocatore sceglie quando gioca la carta, più la logica per la CPU.</t>
        </is>
      </c>
      <c r="L98" s="14" t="inlineStr">
        <is>
          <t>Quando la giochi scegli se vale 83 o 17.</t>
        </is>
      </c>
      <c r="M98" s="17" t="n"/>
      <c r="N98" s="17" t="n"/>
      <c r="O98" s="17" t="n"/>
      <c r="P98" s="17" t="n"/>
    </row>
    <row r="99" ht="58.05" customHeight="1">
      <c r="A99" s="14" t="inlineStr">
        <is>
          <t>Conflux-3</t>
        </is>
      </c>
      <c r="B99" s="14" t="inlineStr">
        <is>
          <t>Conflux</t>
        </is>
      </c>
      <c r="C99" s="15" t="inlineStr">
        <is>
          <t>Shift</t>
        </is>
      </c>
      <c r="D99" s="14" t="n">
        <v>75</v>
      </c>
      <c r="E99" s="14" t="inlineStr">
        <is>
          <t>Può applicare +15 o -15.</t>
        </is>
      </c>
      <c r="F99" s="18" t="inlineStr">
        <is>
          <t>Non programmato</t>
        </is>
      </c>
      <c r="G99" s="14" t="inlineStr">
        <is>
          <t>—</t>
        </is>
      </c>
      <c r="H99" s="14" t="inlineStr">
        <is>
          <t>Niente: il testo si vede sulla carta, ma il gioco non lo applica (la carta mostra 'potere non ancora attivo').</t>
        </is>
      </c>
      <c r="I99" s="14" t="n"/>
      <c r="J99" s="14" t="inlineStr">
        <is>
          <t>Non dice quando si sceglie.</t>
        </is>
      </c>
      <c r="K99" s="14" t="inlineStr">
        <is>
          <t>B · Scelta del giocatore. Una finestra in cui il giocatore sceglie quando gioca la carta, più la logica per la CPU.</t>
        </is>
      </c>
      <c r="L99" s="14" t="inlineStr">
        <is>
          <t>Quando la giochi scegli se vale 90 (+15) o 60 (−15).</t>
        </is>
      </c>
      <c r="M99" s="17" t="n"/>
      <c r="N99" s="17" t="n"/>
      <c r="O99" s="17" t="n"/>
      <c r="P99" s="17" t="n"/>
    </row>
    <row r="100" ht="42" customHeight="1">
      <c r="A100" s="19" t="inlineStr">
        <is>
          <t>Conflux-4</t>
        </is>
      </c>
      <c r="B100" s="19" t="inlineStr">
        <is>
          <t>Conflux</t>
        </is>
      </c>
      <c r="C100" s="24" t="inlineStr">
        <is>
          <t>Chimera</t>
        </is>
      </c>
      <c r="D100" s="19" t="n">
        <v>67</v>
      </c>
      <c r="E100" s="19" t="inlineStr">
        <is>
          <t>—</t>
        </is>
      </c>
      <c r="F100" s="25" t="inlineStr">
        <is>
          <t>Senza potere</t>
        </is>
      </c>
      <c r="G100" s="19" t="inlineStr">
        <is>
          <t>—</t>
        </is>
      </c>
      <c r="H100" s="19" t="inlineStr">
        <is>
          <t>Nessun potere.</t>
        </is>
      </c>
      <c r="I100" s="19" t="n"/>
      <c r="J100" s="19" t="n"/>
      <c r="K100" s="19" t="n"/>
      <c r="L100" s="19" t="n"/>
      <c r="M100" s="17" t="n"/>
      <c r="N100" s="17" t="n"/>
      <c r="O100" s="17" t="n"/>
      <c r="P100" s="17" t="n"/>
    </row>
    <row r="101" ht="42" customHeight="1">
      <c r="A101" s="19" t="inlineStr">
        <is>
          <t>Conflux-5</t>
        </is>
      </c>
      <c r="B101" s="19" t="inlineStr">
        <is>
          <t>Conflux</t>
        </is>
      </c>
      <c r="C101" s="24" t="inlineStr">
        <is>
          <t>Crossfade</t>
        </is>
      </c>
      <c r="D101" s="19" t="n">
        <v>59</v>
      </c>
      <c r="E101" s="19" t="inlineStr">
        <is>
          <t>—</t>
        </is>
      </c>
      <c r="F101" s="25" t="inlineStr">
        <is>
          <t>Senza potere</t>
        </is>
      </c>
      <c r="G101" s="19" t="inlineStr">
        <is>
          <t>—</t>
        </is>
      </c>
      <c r="H101" s="19" t="inlineStr">
        <is>
          <t>Nessun potere.</t>
        </is>
      </c>
      <c r="I101" s="19" t="n"/>
      <c r="J101" s="19" t="n"/>
      <c r="K101" s="19" t="n"/>
      <c r="L101" s="19" t="n"/>
      <c r="M101" s="17" t="n"/>
      <c r="N101" s="17" t="n"/>
      <c r="O101" s="17" t="n"/>
      <c r="P101" s="17" t="n"/>
    </row>
    <row r="102" ht="70.95" customHeight="1">
      <c r="A102" s="19" t="inlineStr">
        <is>
          <t>Conflux-6</t>
        </is>
      </c>
      <c r="B102" s="19" t="inlineStr">
        <is>
          <t>Conflux</t>
        </is>
      </c>
      <c r="C102" s="24" t="inlineStr">
        <is>
          <t>Switch</t>
        </is>
      </c>
      <c r="D102" s="19" t="n">
        <v>51</v>
      </c>
      <c r="E102" s="19" t="inlineStr">
        <is>
          <t>Se ci sono un 80+ e un ≤20, diventa 91.</t>
        </is>
      </c>
      <c r="F102" s="25" t="inlineStr">
        <is>
          <t>Programmato</t>
        </is>
      </c>
      <c r="G102" s="19" t="inlineStr">
        <is>
          <t>Alla rivelazione</t>
        </is>
      </c>
      <c r="H102" s="19" t="inlineStr">
        <is>
          <t>Se nella presa c'è almeno una carta con valore finale 80 o più E una con valore finale 20 o meno, Switch vale 91.</t>
        </is>
      </c>
      <c r="I102" s="19" t="inlineStr">
        <is>
          <t>Si attiva nel 32% delle giocate (2 giocatori: 0% · 4 giocatori: 12% · 8 giocatori: 51%). Vince il 36% delle prese in cui segue la fazione; le carte senza potere da 50–59 ne vincono il 20%.</t>
        </is>
      </c>
      <c r="J102" s="19" t="inlineStr">
        <is>
          <t>Non si attiva mai in 2 giocatori, si attiva nel 51% dei casi in 8: dipende moltissimo dal numero di giocatori.</t>
        </is>
      </c>
      <c r="K102" s="19" t="inlineStr">
        <is>
          <t>Già programmato.</t>
        </is>
      </c>
      <c r="L102" s="19" t="inlineStr">
        <is>
          <t>Va bene così; in alternativa, in 2 giocatori basta una delle due condizioni.</t>
        </is>
      </c>
      <c r="M102" s="17" t="n"/>
      <c r="N102" s="17" t="n"/>
      <c r="O102" s="17" t="n"/>
      <c r="P102" s="17" t="n"/>
    </row>
    <row r="103" ht="42" customHeight="1">
      <c r="A103" s="19" t="inlineStr">
        <is>
          <t>Conflux-7</t>
        </is>
      </c>
      <c r="B103" s="19" t="inlineStr">
        <is>
          <t>Conflux</t>
        </is>
      </c>
      <c r="C103" s="24" t="inlineStr">
        <is>
          <t>Mirror Twin</t>
        </is>
      </c>
      <c r="D103" s="19" t="n">
        <v>43</v>
      </c>
      <c r="E103" s="19" t="inlineStr">
        <is>
          <t>—</t>
        </is>
      </c>
      <c r="F103" s="25" t="inlineStr">
        <is>
          <t>Senza potere</t>
        </is>
      </c>
      <c r="G103" s="19" t="inlineStr">
        <is>
          <t>—</t>
        </is>
      </c>
      <c r="H103" s="19" t="inlineStr">
        <is>
          <t>Nessun potere.</t>
        </is>
      </c>
      <c r="I103" s="19" t="n"/>
      <c r="J103" s="19" t="n"/>
      <c r="K103" s="19" t="n"/>
      <c r="L103" s="19" t="n"/>
      <c r="M103" s="17" t="n"/>
      <c r="N103" s="17" t="n"/>
      <c r="O103" s="17" t="n"/>
      <c r="P103" s="17" t="n"/>
    </row>
    <row r="104" ht="42" customHeight="1">
      <c r="A104" s="19" t="inlineStr">
        <is>
          <t>Conflux-8</t>
        </is>
      </c>
      <c r="B104" s="19" t="inlineStr">
        <is>
          <t>Conflux</t>
        </is>
      </c>
      <c r="C104" s="24" t="inlineStr">
        <is>
          <t>Flicker</t>
        </is>
      </c>
      <c r="D104" s="19" t="n">
        <v>35</v>
      </c>
      <c r="E104" s="19" t="inlineStr">
        <is>
          <t>—</t>
        </is>
      </c>
      <c r="F104" s="25" t="inlineStr">
        <is>
          <t>Senza potere</t>
        </is>
      </c>
      <c r="G104" s="19" t="inlineStr">
        <is>
          <t>—</t>
        </is>
      </c>
      <c r="H104" s="19" t="inlineStr">
        <is>
          <t>Nessun potere.</t>
        </is>
      </c>
      <c r="I104" s="19" t="n"/>
      <c r="J104" s="19" t="n"/>
      <c r="K104" s="19" t="n"/>
      <c r="L104" s="19" t="n"/>
      <c r="M104" s="17" t="n"/>
      <c r="N104" s="17" t="n"/>
      <c r="O104" s="17" t="n"/>
      <c r="P104" s="17" t="n"/>
    </row>
    <row r="105" ht="45" customHeight="1">
      <c r="A105" s="14" t="inlineStr">
        <is>
          <t>Conflux-9</t>
        </is>
      </c>
      <c r="B105" s="14" t="inlineStr">
        <is>
          <t>Conflux</t>
        </is>
      </c>
      <c r="C105" s="15" t="inlineStr">
        <is>
          <t>Metamorph</t>
        </is>
      </c>
      <c r="D105" s="14" t="n">
        <v>27</v>
      </c>
      <c r="E105" s="14" t="inlineStr">
        <is>
          <t>Dipende dalla carta precedente.</t>
        </is>
      </c>
      <c r="F105" s="18" t="inlineStr">
        <is>
          <t>Non programmato</t>
        </is>
      </c>
      <c r="G105" s="14" t="inlineStr">
        <is>
          <t>—</t>
        </is>
      </c>
      <c r="H105" s="14" t="inlineStr">
        <is>
          <t>Niente: il testo si vede sulla carta, ma il gioco non lo applica (la carta mostra 'potere non ancora attivo').</t>
        </is>
      </c>
      <c r="I105" s="14" t="n"/>
      <c r="J105" s="14" t="inlineStr">
        <is>
          <t>'Carta precedente' va definita.</t>
        </is>
      </c>
      <c r="K105" s="14" t="inlineStr">
        <is>
          <t>A · Serve solo la regola esatta. Nessuna meccanica nuova: basta approvare la regola.</t>
        </is>
      </c>
      <c r="L105" s="14" t="inlineStr">
        <is>
          <t>Prende il valore stampato della carta giocata subito prima di lei nella presa; se apre la presa, vale 27.</t>
        </is>
      </c>
      <c r="M105" s="17" t="n"/>
      <c r="N105" s="17" t="n"/>
      <c r="O105" s="17" t="n"/>
      <c r="P105" s="17" t="n"/>
    </row>
    <row r="106" ht="58.05" customHeight="1">
      <c r="A106" s="14" t="inlineStr">
        <is>
          <t>Conflux-10</t>
        </is>
      </c>
      <c r="B106" s="14" t="inlineStr">
        <is>
          <t>Conflux</t>
        </is>
      </c>
      <c r="C106" s="15" t="inlineStr">
        <is>
          <t>Split</t>
        </is>
      </c>
      <c r="D106" s="14" t="n">
        <v>19</v>
      </c>
      <c r="E106" s="14" t="inlineStr">
        <is>
          <t>Può valere 19 oppure 79.</t>
        </is>
      </c>
      <c r="F106" s="18" t="inlineStr">
        <is>
          <t>Non programmato</t>
        </is>
      </c>
      <c r="G106" s="14" t="inlineStr">
        <is>
          <t>—</t>
        </is>
      </c>
      <c r="H106" s="14" t="inlineStr">
        <is>
          <t>Niente: il testo si vede sulla carta, ma il gioco non lo applica (la carta mostra 'potere non ancora attivo').</t>
        </is>
      </c>
      <c r="I106" s="14" t="n"/>
      <c r="J106" s="14" t="inlineStr">
        <is>
          <t>Non dice quando si sceglie.</t>
        </is>
      </c>
      <c r="K106" s="14" t="inlineStr">
        <is>
          <t>B · Scelta del giocatore. Una finestra in cui il giocatore sceglie quando gioca la carta, più la logica per la CPU.</t>
        </is>
      </c>
      <c r="L106" s="14" t="inlineStr">
        <is>
          <t>Quando la giochi scegli se vale 19 o 79.</t>
        </is>
      </c>
      <c r="M106" s="17" t="n"/>
      <c r="N106" s="17" t="n"/>
      <c r="O106" s="17" t="n"/>
      <c r="P106" s="17" t="n"/>
    </row>
    <row r="107" ht="70.95" customHeight="1">
      <c r="A107" s="19" t="inlineStr">
        <is>
          <t>Conflux-11</t>
        </is>
      </c>
      <c r="B107" s="19" t="inlineStr">
        <is>
          <t>Conflux</t>
        </is>
      </c>
      <c r="C107" s="24" t="inlineStr">
        <is>
          <t>Wildcard</t>
        </is>
      </c>
      <c r="D107" s="19" t="n">
        <v>11</v>
      </c>
      <c r="E107" s="19" t="inlineStr">
        <is>
          <t>Diventa il valore avversario più basso +1.</t>
        </is>
      </c>
      <c r="F107" s="25" t="inlineStr">
        <is>
          <t>Programmato</t>
        </is>
      </c>
      <c r="G107" s="19" t="inlineStr">
        <is>
          <t>Alla rivelazione</t>
        </is>
      </c>
      <c r="H107" s="19" t="inlineStr">
        <is>
          <t>Vale il valore stampato più basso tra le carte degli avversari nella presa, +1.</t>
        </is>
      </c>
      <c r="I107" s="19" t="inlineStr">
        <is>
          <t>Si attiva nel 98% delle giocate (2 giocatori: 100% · 4 giocatori: 99% · 8 giocatori: 96%). Vince il 11% delle prese in cui segue la fazione; le carte senza potere da 10–19 ne vincono il 6%.</t>
        </is>
      </c>
      <c r="J107" s="19" t="inlineStr">
        <is>
          <t>Si attiva quasi sempre, ma spesso resta un valore basso. Usa i valori stampati degli avversari, non quelli finali.</t>
        </is>
      </c>
      <c r="K107" s="19" t="inlineStr">
        <is>
          <t>Già programmato.</t>
        </is>
      </c>
      <c r="L107" s="19" t="inlineStr">
        <is>
          <t>Va bene così; decidi solo se usare i valori stampati o quelli finali.</t>
        </is>
      </c>
      <c r="M107" s="17" t="n"/>
      <c r="N107" s="17" t="n"/>
      <c r="O107" s="17" t="n"/>
      <c r="P107" s="17" t="n"/>
    </row>
    <row r="108" ht="42" customHeight="1">
      <c r="A108" s="19" t="inlineStr">
        <is>
          <t>Conflux-12</t>
        </is>
      </c>
      <c r="B108" s="19" t="inlineStr">
        <is>
          <t>Conflux</t>
        </is>
      </c>
      <c r="C108" s="24" t="inlineStr">
        <is>
          <t>Convergence</t>
        </is>
      </c>
      <c r="D108" s="19" t="n">
        <v>3</v>
      </c>
      <c r="E108" s="19" t="inlineStr">
        <is>
          <t>—</t>
        </is>
      </c>
      <c r="F108" s="25" t="inlineStr">
        <is>
          <t>Senza potere</t>
        </is>
      </c>
      <c r="G108" s="19" t="inlineStr">
        <is>
          <t>—</t>
        </is>
      </c>
      <c r="H108" s="19" t="inlineStr">
        <is>
          <t>Nessun potere.</t>
        </is>
      </c>
      <c r="I108" s="19" t="n"/>
      <c r="J108" s="19" t="n"/>
      <c r="K108" s="19" t="n"/>
      <c r="L108" s="19" t="n"/>
      <c r="M108" s="17" t="n"/>
      <c r="N108" s="17" t="n"/>
      <c r="O108" s="17" t="n"/>
      <c r="P108" s="17" t="n"/>
    </row>
  </sheetData>
  <autoFilter ref="A4:P108"/>
  <dataValidations count="1">
    <dataValidation sqref="M5:M108" showDropDown="0" showInputMessage="1" showErrorMessage="0" allowBlank="1" promptTitle="La tua decisione" prompt="Scegli cosa fare con questo potere" type="list">
      <formula1>"Va bene così,Usa la proposta,Nuova regola (scrivi in O),Togli il potere,Da discutere"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4.4"/>
  <cols>
    <col width="5" customWidth="1" min="1" max="1"/>
    <col width="26" customWidth="1" min="2" max="2"/>
    <col width="36" customWidth="1" min="3" max="3"/>
    <col width="44" customWidth="1" min="4" max="4"/>
    <col width="36" customWidth="1" min="5" max="6"/>
    <col width="30" customWidth="1" min="7" max="7"/>
  </cols>
  <sheetData>
    <row r="1" ht="21" customHeight="1">
      <c r="A1" s="11" t="inlineStr">
        <is>
          <t>Decisioni generali</t>
        </is>
      </c>
    </row>
    <row r="2">
      <c r="A2" s="2" t="inlineStr">
        <is>
          <t>Regole che valgono per più poteri insieme. Compila le colonne gialle (F e G).</t>
        </is>
      </c>
    </row>
    <row r="4">
      <c r="A4" s="12" t="inlineStr">
        <is>
          <t>#</t>
        </is>
      </c>
      <c r="B4" s="12" t="inlineStr">
        <is>
          <t>Argomento</t>
        </is>
      </c>
      <c r="C4" s="12" t="inlineStr">
        <is>
          <t>Come funziona oggi</t>
        </is>
      </c>
      <c r="D4" s="12" t="inlineStr">
        <is>
          <t>Possibilità</t>
        </is>
      </c>
      <c r="E4" s="12" t="inlineStr">
        <is>
          <t>Consiglio di Claude</t>
        </is>
      </c>
      <c r="F4" s="13" t="inlineStr">
        <is>
          <t>✏️ La tua decisione</t>
        </is>
      </c>
      <c r="G4" s="13" t="inlineStr">
        <is>
          <t>✏️ Note</t>
        </is>
      </c>
    </row>
    <row r="5" ht="48" customHeight="1">
      <c r="A5" s="14" t="n">
        <v>1</v>
      </c>
      <c r="B5" s="15" t="inlineStr">
        <is>
          <t>Pareggio</t>
        </is>
      </c>
      <c r="C5" s="14" t="inlineStr">
        <is>
          <t>A parità di valore finale vince la carta con il valore stampato più basso.</t>
        </is>
      </c>
      <c r="D5" s="14" t="inlineStr">
        <is>
          <t>Lasciare così · vince il valore stampato più alto · vince chi ha giocato prima</t>
        </is>
      </c>
      <c r="E5" s="14" t="inlineStr">
        <is>
          <t>Lasciare così: rende utili le carte basse con poteri (Invariant, Ascendant…).</t>
        </is>
      </c>
      <c r="F5" s="17" t="n"/>
      <c r="G5" s="17" t="n"/>
    </row>
    <row r="6" ht="60" customHeight="1">
      <c r="A6" s="14" t="n">
        <v>2</v>
      </c>
      <c r="B6" s="15" t="inlineStr">
        <is>
          <t>Scarti e recuperi (gruppo C)</t>
        </is>
      </c>
      <c r="C6" s="14" t="inlineStr">
        <is>
          <t>Ognuno ha sempre esattamente 13 carte per 13 prese: oggi nessuna carta esce o rientra in mano.</t>
        </is>
      </c>
      <c r="D6" s="14" t="inlineStr">
        <is>
          <t>1 · Scambio: ogni recupero obbliga a scartare un'altra carta, così si resta a 13.
2 · Prese variabili: chi ha meno carte salta le ultime prese.</t>
        </is>
      </c>
      <c r="E6" s="14" t="inlineStr">
        <is>
          <t>Opzione 1 (più semplice da capire). Oblivion e Nullchild andrebbero riscritte; con l'opzione 2 funzionano come sono scritte.</t>
        </is>
      </c>
      <c r="F6" s="17" t="n"/>
      <c r="G6" s="17" t="n"/>
    </row>
    <row r="7" ht="60" customHeight="1">
      <c r="A7" s="14" t="n">
        <v>3</v>
      </c>
      <c r="B7" s="15" t="inlineStr">
        <is>
          <t>Cosa vuol dire 'protetta' (gruppo D)</t>
        </is>
      </c>
      <c r="C7" s="14" t="inlineStr">
        <is>
          <t>Non esiste.</t>
        </is>
      </c>
      <c r="D7" s="14" t="inlineStr">
        <is>
          <t>Proposta: i poteri avversari non possono cambiarne il valore (Vesper Null, Wildcard, Measure, Axiom) né toglierti punti (Maledict, Rebel, Ravager).</t>
        </is>
      </c>
      <c r="E7" s="14" t="inlineStr">
        <is>
          <t>Usare la proposta.</t>
        </is>
      </c>
      <c r="F7" s="17" t="n"/>
      <c r="G7" s="17" t="n"/>
    </row>
    <row r="8" ht="48" customHeight="1">
      <c r="A8" s="14" t="n">
        <v>4</v>
      </c>
      <c r="B8" s="15" t="inlineStr">
        <is>
          <t>Quando si sceglie (gruppo B: Janus, Split, Shift, Ashen, Fury)</t>
        </is>
      </c>
      <c r="C8" s="14" t="inlineStr">
        <is>
          <t>Non esiste.</t>
        </is>
      </c>
      <c r="D8" s="14" t="inlineStr">
        <is>
          <t>Quando giochi la carta · alla fine, dopo aver visto tutte le carte della presa</t>
        </is>
      </c>
      <c r="E8" s="14" t="inlineStr">
        <is>
          <t>Quando giochi la carta: più rischio, più strategia.</t>
        </is>
      </c>
      <c r="F8" s="17" t="n"/>
      <c r="G8" s="17" t="n"/>
    </row>
    <row r="9" ht="48" customHeight="1">
      <c r="A9" s="14" t="n">
        <v>5</v>
      </c>
      <c r="B9" s="15" t="inlineStr">
        <is>
          <t>Premio dei pronostici (gruppo E)</t>
        </is>
      </c>
      <c r="C9" s="14" t="inlineStr">
        <is>
          <t>Non esiste.</t>
        </is>
      </c>
      <c r="D9" s="14" t="inlineStr">
        <is>
          <t>Solo premio se indovini · premio se indovini e penalità se sbagli</t>
        </is>
      </c>
      <c r="E9" s="14" t="inlineStr">
        <is>
          <t>Solo premio (+1 o +2 punti).</t>
        </is>
      </c>
      <c r="F9" s="17" t="n"/>
      <c r="G9" s="17" t="n"/>
    </row>
    <row r="10" ht="48" customHeight="1">
      <c r="A10" s="14" t="n">
        <v>6</v>
      </c>
      <c r="B10" s="15" t="inlineStr">
        <is>
          <t>'Un avversario' (Vesper Null, Ravager, Nullchild)</t>
        </is>
      </c>
      <c r="C10" s="14" t="inlineStr">
        <is>
          <t>Il gioco sceglie sempre l'avversario con più punti.</t>
        </is>
      </c>
      <c r="D10" s="14" t="inlineStr">
        <is>
          <t>Automatico (in testa) · lo sceglie chi gioca la carta</t>
        </is>
      </c>
      <c r="E10" s="14" t="inlineStr">
        <is>
          <t>Lo sceglie chi gioca, quando ci sarà la finestra di scelta.</t>
        </is>
      </c>
      <c r="F10" s="17" t="n"/>
      <c r="G10" s="17" t="n"/>
    </row>
    <row r="11" ht="48" customHeight="1">
      <c r="A11" s="14" t="n">
        <v>7</v>
      </c>
      <c r="B11" s="15" t="inlineStr">
        <is>
          <t>'Carta precedente' (Afterimage, Metamorph)</t>
        </is>
      </c>
      <c r="C11" s="14" t="inlineStr">
        <is>
          <t>Afterimage guarda l'ultima carta giocata da te, anche in una presa precedente.</t>
        </is>
      </c>
      <c r="D11" s="14" t="inlineStr">
        <is>
          <t>La tua carta precedente · la carta giocata subito prima nella stessa presa</t>
        </is>
      </c>
      <c r="E11" s="14" t="inlineStr">
        <is>
          <t>Afterimage: la tua. Metamorph: quella nella presa.</t>
        </is>
      </c>
      <c r="F11" s="17" t="n"/>
      <c r="G11" s="17" t="n"/>
    </row>
    <row r="12" ht="48" customHeight="1">
      <c r="A12" s="14" t="n">
        <v>8</v>
      </c>
      <c r="B12" s="15" t="inlineStr">
        <is>
          <t>Poteri delle carte giocate fuori fazione</t>
        </is>
      </c>
      <c r="C12" s="14" t="inlineStr">
        <is>
          <t>Si attivano sempre, anche quando la carta non poteva vincere (es. Maledict).</t>
        </is>
      </c>
      <c r="D12" s="14" t="inlineStr">
        <is>
          <t>Sempre · solo se la carta segue la fazione d'apertura · solo per i poteri che tolgono punti</t>
        </is>
      </c>
      <c r="E12" s="14" t="inlineStr">
        <is>
          <t>Solo per i poteri che tolgono punti (Maledict, Rebel): devono seguire la fazione.</t>
        </is>
      </c>
      <c r="F12" s="17" t="n"/>
      <c r="G12" s="17" t="n"/>
    </row>
    <row r="13" ht="48" customHeight="1">
      <c r="A13" s="14" t="n">
        <v>9</v>
      </c>
      <c r="B13" s="15" t="inlineStr">
        <is>
          <t>'Classifica' (Balancer, Evenhand)</t>
        </is>
      </c>
      <c r="C13" s="14" t="inlineStr">
        <is>
          <t>Non esiste.</t>
        </is>
      </c>
      <c r="D13" s="14" t="inlineStr">
        <is>
          <t>Punti della mano in corso · totale della serie</t>
        </is>
      </c>
      <c r="E13" s="14" t="inlineStr">
        <is>
          <t>Punti della mano in corso.</t>
        </is>
      </c>
      <c r="F13" s="17" t="n"/>
      <c r="G13" s="17"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4.4"/>
  <cols>
    <col width="26" customWidth="1" min="1" max="1"/>
    <col width="100" customWidth="1" min="2" max="2"/>
  </cols>
  <sheetData>
    <row r="1" ht="21" customHeight="1">
      <c r="A1" s="11" t="inlineStr">
        <is>
          <t>Come il gioco applica i poteri</t>
        </is>
      </c>
    </row>
    <row r="3" ht="45" customHeight="1">
      <c r="A3" s="20" t="inlineStr">
        <is>
          <t>1 · Alla giocata</t>
        </is>
      </c>
      <c r="B3" s="5" t="inlineStr">
        <is>
          <t>Appena la carta viene giocata si calcola il suo valore: valore stampato + eventuale bonus o malus in sospeso, poi i poteri 'alla giocata' (Veritas, Invariant, Ascendant, Challenger, Gravemind, Afterimage, Balancer, Evenhand) e i pagamenti scelti per Fury e Ashen. Palimpsest prende qui il potere che copia. Il valore resta tra 0 e 100. Vigil: se apre la presa, chi segue deve giocare la sua carta più alta di quella fazione.</t>
        </is>
      </c>
    </row>
    <row r="4" ht="31.95" customHeight="1">
      <c r="A4" s="20" t="inlineStr">
        <is>
          <t>2 · Alla rivelazione</t>
        </is>
      </c>
      <c r="B4" s="5" t="inlineStr">
        <is>
          <t>Quando tutti hanno giocato: se c'è Axiom, tutte le carte tornano al valore stampato e ci si ferma qui. Altrimenti si applicano Switch, Equalis, Symmetra e Wildcard (guardando i valori prima di queste modifiche), poi Paradox, poi Measure.</t>
        </is>
      </c>
    </row>
    <row r="5" ht="31.95" customHeight="1">
      <c r="A5" s="20" t="inlineStr">
        <is>
          <t>3 · Chi vince</t>
        </is>
      </c>
      <c r="B5" s="5" t="inlineStr">
        <is>
          <t>Vince la carta della fazione d'apertura con il valore finale più alto. A parità vince il valore stampato più basso.</t>
        </is>
      </c>
    </row>
    <row r="6" ht="19.95" customHeight="1">
      <c r="A6" s="20" t="inlineStr">
        <is>
          <t>4 · Punti del Contratto</t>
        </is>
      </c>
      <c r="B6" s="5" t="inlineStr">
        <is>
          <t>Chi vince la presa riceve i punti del Contratto per la presa e per le carte catturate.</t>
        </is>
      </c>
    </row>
    <row r="7" ht="31.95" customHeight="1">
      <c r="A7" s="20" t="inlineStr">
        <is>
          <t>5 · Dopo la presa</t>
        </is>
      </c>
      <c r="B7" s="5" t="inlineStr">
        <is>
          <t>Nell'ordine in cui sono state giocate: Origin, Zero, Praetor, Bloodmark, Vesper Null, Maledict, Rebel, Ravager, Morrowshade, Nullchild. Poi, se c'è Reversal e la presa ha dato o tolto punti, chi l'ha catturata decide se annullarli.</t>
        </is>
      </c>
    </row>
    <row r="9" ht="16.8" customHeight="1">
      <c r="A9" s="3" t="inlineStr">
        <is>
          <t>Parole usate nel file</t>
        </is>
      </c>
    </row>
    <row r="10">
      <c r="A10" s="20" t="inlineStr">
        <is>
          <t>Valore stampato</t>
        </is>
      </c>
      <c r="B10" s="5" t="inlineStr">
        <is>
          <t>Il numero scritto sulla carta.</t>
        </is>
      </c>
    </row>
    <row r="11">
      <c r="A11" s="20" t="inlineStr">
        <is>
          <t>Valore finale</t>
        </is>
      </c>
      <c r="B11" s="5" t="inlineStr">
        <is>
          <t>Il valore dopo bonus, malus e poteri: è quello che decide chi vince.</t>
        </is>
      </c>
    </row>
    <row r="12">
      <c r="A12" s="20" t="inlineStr">
        <is>
          <t>Fazione d'apertura</t>
        </is>
      </c>
      <c r="B12" s="5" t="inlineStr">
        <is>
          <t>La fazione della prima carta della presa: chi ce l'ha deve seguirla, e solo quella fazione può vincere.</t>
        </is>
      </c>
    </row>
    <row r="13">
      <c r="A13" s="20" t="inlineStr">
        <is>
          <t>Bonus / malus in sospeso</t>
        </is>
      </c>
      <c r="B13" s="5" t="inlineStr">
        <is>
          <t>Un +N o −N che vale per la prossima carta giocata da quel giocatore (Praetor, Bloodmark, Vesper Null).</t>
        </is>
      </c>
    </row>
    <row r="14">
      <c r="A14" s="20" t="inlineStr">
        <is>
          <t>Punti Contratto</t>
        </is>
      </c>
      <c r="B14" s="5" t="inlineStr">
        <is>
          <t>I punti della mano, che decidono la classifica.</t>
        </is>
      </c>
    </row>
    <row r="16" ht="16.8" customHeight="1">
      <c r="A16" s="3" t="inlineStr">
        <is>
          <t>Prese vinte dalle carte senza potere</t>
        </is>
      </c>
    </row>
    <row r="17">
      <c r="A17" s="20" t="inlineStr">
        <is>
          <t>Valore stampato</t>
        </is>
      </c>
      <c r="B17" s="20" t="inlineStr">
        <is>
          <t>Prese vinte quando seguono la fazione (simulazione su 8000 mani, CPU a tutti i posti, 2–8 giocatori)</t>
        </is>
      </c>
    </row>
    <row r="18">
      <c r="A18" s="21" t="inlineStr">
        <is>
          <t>0–9</t>
        </is>
      </c>
      <c r="B18" s="22" t="n">
        <v>0.028</v>
      </c>
    </row>
    <row r="19">
      <c r="A19" s="21" t="inlineStr">
        <is>
          <t>10–19</t>
        </is>
      </c>
      <c r="B19" s="22" t="n">
        <v>0.05599999999999999</v>
      </c>
    </row>
    <row r="20">
      <c r="A20" s="21" t="inlineStr">
        <is>
          <t>20–29</t>
        </is>
      </c>
      <c r="B20" s="22" t="n">
        <v>0.07000000000000001</v>
      </c>
    </row>
    <row r="21">
      <c r="A21" s="21" t="inlineStr">
        <is>
          <t>30–39</t>
        </is>
      </c>
      <c r="B21" s="22" t="n">
        <v>0.105</v>
      </c>
    </row>
    <row r="22">
      <c r="A22" s="21" t="inlineStr">
        <is>
          <t>40–49</t>
        </is>
      </c>
      <c r="B22" s="22" t="n">
        <v>0.143</v>
      </c>
    </row>
    <row r="23">
      <c r="A23" s="21" t="inlineStr">
        <is>
          <t>50–59</t>
        </is>
      </c>
      <c r="B23" s="22" t="n">
        <v>0.195</v>
      </c>
    </row>
    <row r="24">
      <c r="A24" s="21" t="inlineStr">
        <is>
          <t>60–69</t>
        </is>
      </c>
      <c r="B24" s="22" t="n">
        <v>0.289</v>
      </c>
    </row>
    <row r="25">
      <c r="A25" s="21" t="inlineStr">
        <is>
          <t>70–79</t>
        </is>
      </c>
      <c r="B25" s="22" t="n">
        <v>0.429</v>
      </c>
    </row>
    <row r="26">
      <c r="A26" s="21" t="inlineStr">
        <is>
          <t>80–89</t>
        </is>
      </c>
      <c r="B26" s="22" t="n">
        <v>0.627</v>
      </c>
    </row>
    <row r="27">
      <c r="A27" s="21" t="inlineStr">
        <is>
          <t>90–99</t>
        </is>
      </c>
      <c r="B27" s="22" t="n">
        <v>0.953</v>
      </c>
    </row>
    <row r="28">
      <c r="A28" s="2" t="inlineStr">
        <is>
          <t>Fonte: simulazione di Claude, 27/10/2026. La CPU gioca in modo semplice: i numeri sono indicativi.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2026-10-27T14:44:12Z</dcterms:created>
  <dcterms:modified xsi:type="dcterms:W3CDTF">2026-10-28T12:31:42Z</dcterms:modified>
  <cp:lastModifiedBy>amtne</cp:lastModifiedBy>
</cp:coreProperties>
</file>